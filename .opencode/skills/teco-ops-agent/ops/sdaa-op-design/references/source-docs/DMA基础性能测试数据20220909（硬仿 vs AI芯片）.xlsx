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F:\tanj\doc\AI算子库优化BLAS\"/>
    </mc:Choice>
  </mc:AlternateContent>
  <bookViews>
    <workbookView xWindow="0" yWindow="0" windowWidth="12000" windowHeight="5100" activeTab="1"/>
  </bookViews>
  <sheets>
    <sheet name="环境说明" sheetId="9" r:id="rId1"/>
    <sheet name="行列广播&amp;转置广播基础性能数据" sheetId="1" r:id="rId2"/>
    <sheet name="dma单从核（32核同时）模式基础性能数据" sheetId="6" r:id="rId3"/>
    <sheet name="dma_put基础带宽数据" sheetId="7" r:id="rId4"/>
    <sheet name="性能汇总数据（20220317更新）" sheetId="5" r:id="rId5"/>
    <sheet name="Sheet2" sheetId="8" r:id="rId6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G5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4" i="7"/>
  <c r="Z67" i="1"/>
  <c r="Z66" i="1"/>
  <c r="G51" i="1" l="1"/>
  <c r="G52" i="1"/>
  <c r="G54" i="1"/>
  <c r="G55" i="1"/>
  <c r="G56" i="1"/>
  <c r="G53" i="1"/>
  <c r="R5" i="7" l="1"/>
  <c r="R6" i="7"/>
  <c r="R7" i="7"/>
  <c r="R8" i="7"/>
  <c r="R9" i="7"/>
  <c r="R10" i="7"/>
  <c r="R11" i="7"/>
  <c r="R12" i="7"/>
  <c r="R13" i="7"/>
  <c r="R14" i="7"/>
  <c r="R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4" i="7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3" i="6"/>
  <c r="AH4" i="6"/>
  <c r="AH3" i="6"/>
  <c r="X4" i="6"/>
  <c r="X5" i="6"/>
  <c r="X6" i="6"/>
  <c r="X7" i="6"/>
  <c r="X8" i="6"/>
  <c r="X9" i="6"/>
  <c r="X10" i="6"/>
  <c r="X11" i="6"/>
  <c r="X12" i="6"/>
  <c r="X13" i="6"/>
  <c r="X3" i="6"/>
  <c r="P4" i="6"/>
  <c r="P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3" i="6"/>
  <c r="P67" i="1"/>
  <c r="P68" i="1"/>
  <c r="P69" i="1"/>
  <c r="P70" i="1"/>
  <c r="P71" i="1"/>
  <c r="P72" i="1"/>
  <c r="P73" i="1"/>
  <c r="P74" i="1"/>
  <c r="P75" i="1"/>
  <c r="P76" i="1"/>
  <c r="P66" i="1"/>
  <c r="G67" i="1"/>
  <c r="G68" i="1"/>
  <c r="G69" i="1"/>
  <c r="G70" i="1"/>
  <c r="G71" i="1"/>
  <c r="G72" i="1"/>
  <c r="G73" i="1"/>
  <c r="G74" i="1"/>
  <c r="G75" i="1"/>
  <c r="G76" i="1"/>
  <c r="G66" i="1"/>
  <c r="J7" i="8" l="1"/>
  <c r="K7" i="8"/>
  <c r="J5" i="8"/>
  <c r="J3" i="8"/>
  <c r="J4" i="8"/>
  <c r="F53" i="6"/>
</calcChain>
</file>

<file path=xl/sharedStrings.xml><?xml version="1.0" encoding="utf-8"?>
<sst xmlns="http://purl.oclc.org/ooxml/spreadsheetml/main" count="1461" uniqueCount="773">
  <si>
    <t xml:space="preserve"> 45c40</t>
  </si>
  <si>
    <t xml:space="preserve"> 45c00</t>
  </si>
  <si>
    <t xml:space="preserve"> 45b80</t>
  </si>
  <si>
    <t xml:space="preserve"> 45a80</t>
  </si>
  <si>
    <t xml:space="preserve"> 44c80</t>
  </si>
  <si>
    <t xml:space="preserve"> c0</t>
  </si>
  <si>
    <t xml:space="preserve"> 45bc0</t>
  </si>
  <si>
    <t xml:space="preserve"> 45b40</t>
  </si>
  <si>
    <t xml:space="preserve"> 45b00</t>
  </si>
  <si>
    <t xml:space="preserve"> 1c0</t>
  </si>
  <si>
    <t xml:space="preserve"> 45ac0</t>
  </si>
  <si>
    <t xml:space="preserve"> 45a40</t>
  </si>
  <si>
    <t xml:space="preserve"> 45a00</t>
  </si>
  <si>
    <t xml:space="preserve"> 2c0</t>
  </si>
  <si>
    <t xml:space="preserve"> 459c0</t>
  </si>
  <si>
    <t xml:space="preserve"> 3c0</t>
  </si>
  <si>
    <t xml:space="preserve"> 458c0</t>
  </si>
  <si>
    <t xml:space="preserve"> 4c0</t>
  </si>
  <si>
    <t xml:space="preserve"> 457c0</t>
  </si>
  <si>
    <t xml:space="preserve"> 5c0</t>
  </si>
  <si>
    <t xml:space="preserve"> 456c0</t>
  </si>
  <si>
    <t xml:space="preserve"> 6c0</t>
  </si>
  <si>
    <t xml:space="preserve"> 455c0</t>
  </si>
  <si>
    <t xml:space="preserve"> 7c0</t>
  </si>
  <si>
    <t xml:space="preserve"> 454c0</t>
  </si>
  <si>
    <t>len</t>
    <phoneticPr fontId="18" type="noConversion"/>
  </si>
  <si>
    <t>bsize</t>
    <phoneticPr fontId="18" type="noConversion"/>
  </si>
  <si>
    <t>stride</t>
    <phoneticPr fontId="18" type="noConversion"/>
  </si>
  <si>
    <t>rpcc</t>
    <phoneticPr fontId="18" type="noConversion"/>
  </si>
  <si>
    <t>bandwidth</t>
    <phoneticPr fontId="18" type="noConversion"/>
  </si>
  <si>
    <t>bandwidth</t>
    <phoneticPr fontId="18" type="noConversion"/>
  </si>
  <si>
    <t>col broadcast test</t>
    <phoneticPr fontId="18" type="noConversion"/>
  </si>
  <si>
    <t>备注</t>
    <phoneticPr fontId="18" type="noConversion"/>
  </si>
  <si>
    <t>标绿的是最高带宽数值，长度均为16进制</t>
    <phoneticPr fontId="18" type="noConversion"/>
  </si>
  <si>
    <t>row broadcast test</t>
    <phoneticPr fontId="18" type="noConversion"/>
  </si>
  <si>
    <t>rpcc</t>
    <phoneticPr fontId="18" type="noConversion"/>
  </si>
  <si>
    <t>核组带宽</t>
    <phoneticPr fontId="18" type="noConversion"/>
  </si>
  <si>
    <r>
      <t>不带跨步的</t>
    </r>
    <r>
      <rPr>
        <sz val="14"/>
        <color theme="1"/>
        <rFont val="Times New Roman"/>
        <family val="1"/>
      </rPr>
      <t>DMA_PUT</t>
    </r>
    <phoneticPr fontId="18" type="noConversion"/>
  </si>
  <si>
    <r>
      <t>不带跨步的</t>
    </r>
    <r>
      <rPr>
        <sz val="14"/>
        <color theme="1"/>
        <rFont val="Times New Roman"/>
        <family val="1"/>
      </rPr>
      <t>DMA_GET</t>
    </r>
  </si>
  <si>
    <r>
      <t>跨步的</t>
    </r>
    <r>
      <rPr>
        <sz val="14"/>
        <color theme="1"/>
        <rFont val="Times New Roman"/>
        <family val="1"/>
      </rPr>
      <t>DMA_PUT</t>
    </r>
    <phoneticPr fontId="18" type="noConversion"/>
  </si>
  <si>
    <r>
      <t>跨步的</t>
    </r>
    <r>
      <rPr>
        <sz val="14"/>
        <color theme="1"/>
        <rFont val="Times New Roman"/>
        <family val="1"/>
      </rPr>
      <t>DMA_GET</t>
    </r>
    <phoneticPr fontId="18" type="noConversion"/>
  </si>
  <si>
    <r>
      <t>不带跨步的多行广播</t>
    </r>
    <r>
      <rPr>
        <sz val="14"/>
        <color theme="1"/>
        <rFont val="Times New Roman"/>
        <family val="1"/>
      </rPr>
      <t>DMA_GET</t>
    </r>
    <phoneticPr fontId="18" type="noConversion"/>
  </si>
  <si>
    <r>
      <t>不带跨步的多列广播</t>
    </r>
    <r>
      <rPr>
        <sz val="14"/>
        <color theme="1"/>
        <rFont val="Times New Roman"/>
        <family val="1"/>
      </rPr>
      <t>DMA_GET</t>
    </r>
  </si>
  <si>
    <r>
      <t>带跨步的多行广播</t>
    </r>
    <r>
      <rPr>
        <sz val="14"/>
        <color theme="1"/>
        <rFont val="Times New Roman"/>
        <family val="1"/>
      </rPr>
      <t>DMA_GET</t>
    </r>
  </si>
  <si>
    <r>
      <t>带跨步的多列广播</t>
    </r>
    <r>
      <rPr>
        <sz val="14"/>
        <color theme="1"/>
        <rFont val="Times New Roman"/>
        <family val="1"/>
      </rPr>
      <t>DMA_GET</t>
    </r>
    <phoneticPr fontId="18" type="noConversion"/>
  </si>
  <si>
    <t>AI硬仿HBM M016(2.5GHz)</t>
  </si>
  <si>
    <t>MC 1</t>
  </si>
  <si>
    <t>MC 2</t>
  </si>
  <si>
    <t>MC 3</t>
  </si>
  <si>
    <t>SIZE(B)</t>
  </si>
  <si>
    <t>MC 0</t>
  </si>
  <si>
    <r>
      <t>浮点</t>
    </r>
    <r>
      <rPr>
        <sz val="9"/>
        <color theme="1"/>
        <rFont val="Times New Roman"/>
        <family val="1"/>
      </rPr>
      <t>16*16+32</t>
    </r>
  </si>
  <si>
    <r>
      <t>整数</t>
    </r>
    <r>
      <rPr>
        <sz val="9"/>
        <color theme="1"/>
        <rFont val="Times New Roman"/>
        <family val="1"/>
      </rPr>
      <t>16*16+32</t>
    </r>
  </si>
  <si>
    <r>
      <t>整数</t>
    </r>
    <r>
      <rPr>
        <sz val="9"/>
        <color theme="1"/>
        <rFont val="Times New Roman"/>
        <family val="1"/>
      </rPr>
      <t>2*(8*8+16)</t>
    </r>
  </si>
  <si>
    <t>西向数据加载</t>
    <phoneticPr fontId="18" type="noConversion"/>
  </si>
  <si>
    <t>北向数据加载</t>
    <phoneticPr fontId="18" type="noConversion"/>
  </si>
  <si>
    <r>
      <t>32</t>
    </r>
    <r>
      <rPr>
        <sz val="9"/>
        <color theme="1"/>
        <rFont val="宋体"/>
        <family val="3"/>
        <charset val="134"/>
      </rPr>
      <t>位</t>
    </r>
  </si>
  <si>
    <t>运算类型</t>
  </si>
  <si>
    <t>写回精度</t>
  </si>
  <si>
    <t>写回条目数</t>
  </si>
  <si>
    <t>延迟（拍）</t>
  </si>
  <si>
    <r>
      <t>带宽（</t>
    </r>
    <r>
      <rPr>
        <b/>
        <sz val="9"/>
        <color theme="1"/>
        <rFont val="Times New Roman"/>
        <family val="1"/>
      </rPr>
      <t>GB/s</t>
    </r>
    <r>
      <rPr>
        <b/>
        <sz val="9"/>
        <color theme="1"/>
        <rFont val="宋体"/>
        <family val="3"/>
        <charset val="134"/>
      </rPr>
      <t>）</t>
    </r>
  </si>
  <si>
    <r>
      <t>16</t>
    </r>
    <r>
      <rPr>
        <sz val="9"/>
        <color theme="1"/>
        <rFont val="宋体"/>
        <family val="3"/>
        <charset val="134"/>
      </rPr>
      <t>位</t>
    </r>
  </si>
  <si>
    <r>
      <t>8</t>
    </r>
    <r>
      <rPr>
        <sz val="9"/>
        <color theme="1"/>
        <rFont val="宋体"/>
        <family val="3"/>
        <charset val="134"/>
      </rPr>
      <t>位</t>
    </r>
  </si>
  <si>
    <t>运算类型</t>
    <phoneticPr fontId="18" type="noConversion"/>
  </si>
  <si>
    <t>条目数</t>
    <phoneticPr fontId="18" type="noConversion"/>
  </si>
  <si>
    <t>延时</t>
    <phoneticPr fontId="18" type="noConversion"/>
  </si>
  <si>
    <t>结果写回</t>
    <phoneticPr fontId="18" type="noConversion"/>
  </si>
  <si>
    <r>
      <t>16</t>
    </r>
    <r>
      <rPr>
        <sz val="10.5"/>
        <color theme="1"/>
        <rFont val="宋体"/>
        <family val="3"/>
        <charset val="134"/>
      </rPr>
      <t>位</t>
    </r>
  </si>
  <si>
    <r>
      <t>32</t>
    </r>
    <r>
      <rPr>
        <sz val="10.5"/>
        <color theme="1"/>
        <rFont val="宋体"/>
        <family val="3"/>
        <charset val="134"/>
      </rPr>
      <t>位</t>
    </r>
  </si>
  <si>
    <r>
      <t>task：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次北向，多条西向，卸载</t>
    </r>
    <phoneticPr fontId="18" type="noConversion"/>
  </si>
  <si>
    <r>
      <t>西向数据加载总条目（</t>
    </r>
    <r>
      <rPr>
        <b/>
        <sz val="10.5"/>
        <color theme="1"/>
        <rFont val="Times New Roman"/>
        <family val="1"/>
      </rPr>
      <t>64B</t>
    </r>
    <r>
      <rPr>
        <b/>
        <sz val="10.5"/>
        <color theme="1"/>
        <rFont val="宋体"/>
        <family val="3"/>
        <charset val="134"/>
      </rPr>
      <t>）</t>
    </r>
  </si>
  <si>
    <t>西向加载数</t>
    <phoneticPr fontId="18" type="noConversion"/>
  </si>
  <si>
    <t xml:space="preserve"> 0x14dc78</t>
  </si>
  <si>
    <t xml:space="preserve"> 0x1527f2</t>
  </si>
  <si>
    <t xml:space="preserve"> 0x150eb8</t>
  </si>
  <si>
    <t xml:space="preserve"> 0x15cb82</t>
  </si>
  <si>
    <t xml:space="preserve"> 0x15761e</t>
  </si>
  <si>
    <t xml:space="preserve"> 0x1577d2</t>
  </si>
  <si>
    <t xml:space="preserve"> 0x172505</t>
  </si>
  <si>
    <t xml:space="preserve"> 0x16209e</t>
  </si>
  <si>
    <t xml:space="preserve"> 0x167818</t>
  </si>
  <si>
    <t xml:space="preserve"> 0x1620f3</t>
  </si>
  <si>
    <t xml:space="preserve"> 0x191a13</t>
  </si>
  <si>
    <t xml:space="preserve"> 0x17b686</t>
  </si>
  <si>
    <t xml:space="preserve"> 0x180dd8</t>
  </si>
  <si>
    <t xml:space="preserve"> 0x180805</t>
  </si>
  <si>
    <t xml:space="preserve"> 0x179652</t>
  </si>
  <si>
    <t xml:space="preserve"> 0x1ce8e0</t>
  </si>
  <si>
    <t xml:space="preserve"> 0x1add42</t>
  </si>
  <si>
    <t xml:space="preserve"> 0x1b27f7</t>
  </si>
  <si>
    <t xml:space="preserve"> 0x1b1501</t>
  </si>
  <si>
    <t xml:space="preserve"> 0x1b1158</t>
  </si>
  <si>
    <t xml:space="preserve"> 0x1aa178</t>
  </si>
  <si>
    <t xml:space="preserve"> 0x28391a</t>
  </si>
  <si>
    <t xml:space="preserve"> 0x20f6f1</t>
  </si>
  <si>
    <t xml:space="preserve"> 0x21294f</t>
  </si>
  <si>
    <t xml:space="preserve"> 0x214245</t>
  </si>
  <si>
    <t xml:space="preserve"> 0x2105c6</t>
  </si>
  <si>
    <t xml:space="preserve"> 0x20c204</t>
  </si>
  <si>
    <t xml:space="preserve"> 0x20bd7b</t>
  </si>
  <si>
    <t xml:space="preserve"> 0x4aa5c2</t>
  </si>
  <si>
    <t xml:space="preserve"> 0x2ebc8f</t>
  </si>
  <si>
    <t xml:space="preserve"> 0x2fedca</t>
  </si>
  <si>
    <t xml:space="preserve"> 0x30416c</t>
  </si>
  <si>
    <t xml:space="preserve"> 0x2f2525</t>
  </si>
  <si>
    <t xml:space="preserve"> 0x2f7b3a</t>
  </si>
  <si>
    <t xml:space="preserve"> 0x2f5e63</t>
  </si>
  <si>
    <t xml:space="preserve"> 0x83e4ee</t>
  </si>
  <si>
    <t xml:space="preserve"> 0x4c3fa8</t>
  </si>
  <si>
    <t xml:space="preserve"> 0x4b88f7</t>
  </si>
  <si>
    <t xml:space="preserve"> 0x4c4eb3</t>
  </si>
  <si>
    <t xml:space="preserve"> 0x4e1089</t>
  </si>
  <si>
    <t xml:space="preserve"> 0x4d8346</t>
  </si>
  <si>
    <t xml:space="preserve"> 0x4fd5b9</t>
  </si>
  <si>
    <t xml:space="preserve"> 0xefa5eb</t>
  </si>
  <si>
    <t xml:space="preserve"> 0x8b72bd</t>
  </si>
  <si>
    <t xml:space="preserve"> 0x8d13d5</t>
  </si>
  <si>
    <t xml:space="preserve"> 0x86d424</t>
  </si>
  <si>
    <t xml:space="preserve"> 0x856098</t>
  </si>
  <si>
    <t xml:space="preserve"> 0x9042d4</t>
  </si>
  <si>
    <t xml:space="preserve"> 0x898e14</t>
  </si>
  <si>
    <t xml:space="preserve"> 0xf7399b</t>
  </si>
  <si>
    <t xml:space="preserve"> 0xef4a8a</t>
  </si>
  <si>
    <t xml:space="preserve"> 0xf1a86a</t>
  </si>
  <si>
    <t xml:space="preserve"> 0xf1d2bf</t>
  </si>
  <si>
    <t xml:space="preserve"> 0xf12b66</t>
  </si>
  <si>
    <t xml:space="preserve"> 0xef7a99</t>
  </si>
  <si>
    <t xml:space="preserve"> 0x12b1d2</t>
  </si>
  <si>
    <t xml:space="preserve"> 0x13113f</t>
  </si>
  <si>
    <t xml:space="preserve"> 0x12af4d</t>
  </si>
  <si>
    <t xml:space="preserve"> 0x1397c8</t>
  </si>
  <si>
    <t xml:space="preserve"> 0x12ed2e</t>
  </si>
  <si>
    <t xml:space="preserve"> 0x12eec9</t>
  </si>
  <si>
    <t xml:space="preserve"> 0x15010c</t>
  </si>
  <si>
    <t xml:space="preserve"> 0x138f09</t>
  </si>
  <si>
    <t xml:space="preserve"> 0x13dba5</t>
  </si>
  <si>
    <t xml:space="preserve"> 0x137a72</t>
  </si>
  <si>
    <t xml:space="preserve"> 0x16f37a</t>
  </si>
  <si>
    <t xml:space="preserve"> 0x14c295</t>
  </si>
  <si>
    <t xml:space="preserve"> 0x14f0f0</t>
  </si>
  <si>
    <t xml:space="preserve"> 0x14ecc1</t>
  </si>
  <si>
    <t xml:space="preserve"> 0x148d59</t>
  </si>
  <si>
    <t xml:space="preserve"> 0x1b3f76</t>
  </si>
  <si>
    <t xml:space="preserve"> 0x16dfb8</t>
  </si>
  <si>
    <t xml:space="preserve"> 0x171887</t>
  </si>
  <si>
    <t xml:space="preserve"> 0x172473</t>
  </si>
  <si>
    <t xml:space="preserve"> 0x16ec8d</t>
  </si>
  <si>
    <t xml:space="preserve"> 0x16c483</t>
  </si>
  <si>
    <t xml:space="preserve"> 0x29212c</t>
  </si>
  <si>
    <t xml:space="preserve"> 0x1b09c7</t>
  </si>
  <si>
    <t xml:space="preserve"> 0x1d1e49</t>
  </si>
  <si>
    <t xml:space="preserve"> 0x1aedc1</t>
  </si>
  <si>
    <t xml:space="preserve"> 0x1b542c</t>
  </si>
  <si>
    <t xml:space="preserve"> 0x1aa390</t>
  </si>
  <si>
    <t xml:space="preserve"> 0x1ac965</t>
  </si>
  <si>
    <t xml:space="preserve"> 0x4978df</t>
  </si>
  <si>
    <t xml:space="preserve"> 0x2931f7</t>
  </si>
  <si>
    <t xml:space="preserve"> 0x2b90ef</t>
  </si>
  <si>
    <t xml:space="preserve"> 0x2aadce</t>
  </si>
  <si>
    <t xml:space="preserve"> 0x29998e</t>
  </si>
  <si>
    <t xml:space="preserve"> 0x299878</t>
  </si>
  <si>
    <t xml:space="preserve"> 0x29141d</t>
  </si>
  <si>
    <t xml:space="preserve"> 0x8236cd</t>
  </si>
  <si>
    <t xml:space="preserve"> 0x4b7fc3</t>
  </si>
  <si>
    <t xml:space="preserve"> 0x4b1e20</t>
  </si>
  <si>
    <t xml:space="preserve"> 0x4a90e8</t>
  </si>
  <si>
    <t xml:space="preserve"> 0x4b9bf8</t>
  </si>
  <si>
    <t xml:space="preserve"> 0x4afe9e</t>
  </si>
  <si>
    <t xml:space="preserve"> 0x4b7106</t>
  </si>
  <si>
    <t xml:space="preserve"> 0xe51b7b</t>
  </si>
  <si>
    <t xml:space="preserve"> 0x842ce0</t>
  </si>
  <si>
    <t xml:space="preserve"> 0x841d8b</t>
  </si>
  <si>
    <t xml:space="preserve"> 0x836a3d</t>
  </si>
  <si>
    <t xml:space="preserve"> 0x831f2b</t>
  </si>
  <si>
    <t xml:space="preserve"> 0x840f55</t>
  </si>
  <si>
    <t xml:space="preserve"> 0x843c09</t>
  </si>
  <si>
    <t xml:space="preserve"> 0xeb85d6</t>
  </si>
  <si>
    <t xml:space="preserve"> 0xe83cc0</t>
  </si>
  <si>
    <t xml:space="preserve"> 0xea1cf7</t>
  </si>
  <si>
    <t xml:space="preserve"> 0xe9703f</t>
  </si>
  <si>
    <t xml:space="preserve"> 0xec5549</t>
  </si>
  <si>
    <t xml:space="preserve"> 0xeff8e4</t>
  </si>
  <si>
    <t xml:space="preserve"> 0x5211a0</t>
  </si>
  <si>
    <t xml:space="preserve"> 0x5167d8</t>
  </si>
  <si>
    <t xml:space="preserve"> 0x520afb</t>
  </si>
  <si>
    <t xml:space="preserve"> 0x5229e5</t>
  </si>
  <si>
    <t xml:space="preserve"> 0x52a262</t>
  </si>
  <si>
    <t xml:space="preserve"> 0x533d06</t>
  </si>
  <si>
    <t xml:space="preserve"> 0x54b220</t>
  </si>
  <si>
    <t xml:space="preserve"> 0x5200a8</t>
  </si>
  <si>
    <t xml:space="preserve"> 0x51e9db</t>
  </si>
  <si>
    <t xml:space="preserve"> 0x522167</t>
  </si>
  <si>
    <t xml:space="preserve"> 0x51fe42</t>
  </si>
  <si>
    <t xml:space="preserve"> 0x5223b9</t>
  </si>
  <si>
    <t xml:space="preserve"> 0x51f84e</t>
  </si>
  <si>
    <t xml:space="preserve"> 0x522d11</t>
  </si>
  <si>
    <t xml:space="preserve"> 0x5181bd</t>
  </si>
  <si>
    <t xml:space="preserve"> 0x513729</t>
  </si>
  <si>
    <t xml:space="preserve"> 0x638c07</t>
  </si>
  <si>
    <t xml:space="preserve"> 0x632420</t>
  </si>
  <si>
    <t xml:space="preserve"> 0x641a86</t>
  </si>
  <si>
    <t xml:space="preserve"> 0x6443ee</t>
  </si>
  <si>
    <t xml:space="preserve"> 0x63965e</t>
  </si>
  <si>
    <t xml:space="preserve"> 0x688b10</t>
  </si>
  <si>
    <t xml:space="preserve"> 0x64b57f</t>
  </si>
  <si>
    <t xml:space="preserve"> 0x640a90</t>
  </si>
  <si>
    <t xml:space="preserve"> 0x63d729</t>
  </si>
  <si>
    <t xml:space="preserve"> 0x643293</t>
  </si>
  <si>
    <t xml:space="preserve"> 0x643aa5</t>
  </si>
  <si>
    <t xml:space="preserve"> 0x6588dc</t>
  </si>
  <si>
    <t xml:space="preserve"> 0x6673ae</t>
  </si>
  <si>
    <t xml:space="preserve"> 0x674b7b</t>
  </si>
  <si>
    <t xml:space="preserve"> 0x69c2e9</t>
  </si>
  <si>
    <t xml:space="preserve"> 0x64217b</t>
  </si>
  <si>
    <t xml:space="preserve"> 0x63bd71</t>
  </si>
  <si>
    <t xml:space="preserve"> 0x62f60b</t>
  </si>
  <si>
    <t xml:space="preserve"> 0x63278a</t>
  </si>
  <si>
    <t xml:space="preserve"> 0x650a9f</t>
  </si>
  <si>
    <t xml:space="preserve"> 0x64d409</t>
  </si>
  <si>
    <t xml:space="preserve"> 0x65945b</t>
  </si>
  <si>
    <t xml:space="preserve"> 0x659c35</t>
  </si>
  <si>
    <t xml:space="preserve"> 0x657cc4</t>
  </si>
  <si>
    <t xml:space="preserve"> 0x67f5a4</t>
  </si>
  <si>
    <t xml:space="preserve"> 0x676876</t>
  </si>
  <si>
    <t xml:space="preserve"> 0x670607</t>
  </si>
  <si>
    <t xml:space="preserve"> 0x676477</t>
  </si>
  <si>
    <t xml:space="preserve"> 0x663aad</t>
  </si>
  <si>
    <t xml:space="preserve"> 0x668f74</t>
  </si>
  <si>
    <t xml:space="preserve"> 0x63c15f</t>
  </si>
  <si>
    <t xml:space="preserve"> 0x630856</t>
  </si>
  <si>
    <t xml:space="preserve"> 0x46efdf</t>
  </si>
  <si>
    <t xml:space="preserve"> 0x46cccf</t>
  </si>
  <si>
    <t xml:space="preserve"> 0x480763</t>
  </si>
  <si>
    <t xml:space="preserve"> 0x482569</t>
  </si>
  <si>
    <t xml:space="preserve"> 0x48f784</t>
  </si>
  <si>
    <t xml:space="preserve"> 0x49df08</t>
  </si>
  <si>
    <t xml:space="preserve"> 0x4a39c9</t>
  </si>
  <si>
    <t xml:space="preserve"> 0x484524</t>
  </si>
  <si>
    <t xml:space="preserve"> 0x489328</t>
  </si>
  <si>
    <t xml:space="preserve"> 0x48a97b</t>
  </si>
  <si>
    <t xml:space="preserve"> 0x484820</t>
  </si>
  <si>
    <t xml:space="preserve"> 0x48514e</t>
  </si>
  <si>
    <t xml:space="preserve"> 0x48135c</t>
  </si>
  <si>
    <t xml:space="preserve"> 0x47fb17</t>
  </si>
  <si>
    <t xml:space="preserve"> 0x4764db</t>
  </si>
  <si>
    <t xml:space="preserve"> 0x466aad</t>
  </si>
  <si>
    <t xml:space="preserve"> 0x54200d</t>
  </si>
  <si>
    <t xml:space="preserve"> 0x54dccb</t>
  </si>
  <si>
    <t xml:space="preserve"> 0x55fa8f</t>
  </si>
  <si>
    <t xml:space="preserve"> 0x5606fb</t>
  </si>
  <si>
    <t xml:space="preserve"> 0x5586d4</t>
  </si>
  <si>
    <t xml:space="preserve"> 0x56e012</t>
  </si>
  <si>
    <t xml:space="preserve"> 0x563d97</t>
  </si>
  <si>
    <t xml:space="preserve"> 0x55ce52</t>
  </si>
  <si>
    <t xml:space="preserve"> 0x571335</t>
  </si>
  <si>
    <t xml:space="preserve"> 0x58ec88</t>
  </si>
  <si>
    <t xml:space="preserve"> 0x55d012</t>
  </si>
  <si>
    <t xml:space="preserve"> 0x5678c1</t>
  </si>
  <si>
    <t xml:space="preserve"> 0x5795d2</t>
  </si>
  <si>
    <t xml:space="preserve"> 0x5802d3</t>
  </si>
  <si>
    <t xml:space="preserve"> 0x5b253f</t>
  </si>
  <si>
    <t xml:space="preserve"> 0x55b293</t>
  </si>
  <si>
    <t xml:space="preserve"> 0x552df9</t>
  </si>
  <si>
    <t xml:space="preserve"> 0x5463ae</t>
  </si>
  <si>
    <t xml:space="preserve"> 0x54b130</t>
  </si>
  <si>
    <t xml:space="preserve"> 0x54fc12</t>
  </si>
  <si>
    <t xml:space="preserve"> 0x551428</t>
  </si>
  <si>
    <t xml:space="preserve"> 0x556de4</t>
  </si>
  <si>
    <t xml:space="preserve"> 0x55eac5</t>
  </si>
  <si>
    <t xml:space="preserve"> 0x567456</t>
  </si>
  <si>
    <t xml:space="preserve"> 0x5697d2</t>
  </si>
  <si>
    <t xml:space="preserve"> 0x56f998</t>
  </si>
  <si>
    <t xml:space="preserve"> 0x56b19d</t>
  </si>
  <si>
    <t xml:space="preserve"> 0x569712</t>
  </si>
  <si>
    <t xml:space="preserve"> 0x55f9af</t>
  </si>
  <si>
    <t xml:space="preserve"> 0x55d5fb</t>
  </si>
  <si>
    <t xml:space="preserve"> 0x54a2be</t>
  </si>
  <si>
    <t xml:space="preserve"> 0x5479c2</t>
  </si>
  <si>
    <t>row transpose broadcast test（发一次判一次）</t>
    <phoneticPr fontId="18" type="noConversion"/>
  </si>
  <si>
    <t>col broadcast test（发一次判一次）</t>
    <phoneticPr fontId="18" type="noConversion"/>
  </si>
  <si>
    <t>row broadcast test（发一次判一次）</t>
    <phoneticPr fontId="18" type="noConversion"/>
  </si>
  <si>
    <t>col transpose broadcast test（发一次判一次）</t>
    <phoneticPr fontId="18" type="noConversion"/>
  </si>
  <si>
    <t xml:space="preserve"> 0x14e307</t>
  </si>
  <si>
    <t xml:space="preserve"> 0x1526e6</t>
  </si>
  <si>
    <t xml:space="preserve"> 0x1578da</t>
  </si>
  <si>
    <t xml:space="preserve"> 0x162062</t>
  </si>
  <si>
    <t xml:space="preserve"> 0x179928</t>
  </si>
  <si>
    <t xml:space="preserve"> 0x1aa7b4</t>
  </si>
  <si>
    <t xml:space="preserve"> 0x20b104</t>
  </si>
  <si>
    <t xml:space="preserve"> 0x2e825d</t>
  </si>
  <si>
    <t xml:space="preserve"> 0x47c0fd</t>
  </si>
  <si>
    <t xml:space="preserve"> 0x77e1ec</t>
  </si>
  <si>
    <t xml:space="preserve"> 0xdc5586</t>
  </si>
  <si>
    <t xml:space="preserve"> 0x12eaea</t>
  </si>
  <si>
    <t xml:space="preserve"> 0x12ea9b</t>
  </si>
  <si>
    <t xml:space="preserve"> 0x131a11</t>
  </si>
  <si>
    <t xml:space="preserve"> 0x13725c</t>
  </si>
  <si>
    <t xml:space="preserve"> 0x148cb6</t>
  </si>
  <si>
    <t xml:space="preserve"> 0x16c210</t>
  </si>
  <si>
    <t xml:space="preserve"> 0x1ab459</t>
  </si>
  <si>
    <t xml:space="preserve"> 0x28a55c</t>
  </si>
  <si>
    <t xml:space="preserve"> 0x434e73</t>
  </si>
  <si>
    <t xml:space="preserve"> 0x75fd28</t>
  </si>
  <si>
    <t xml:space="preserve"> 0xd8b6fe</t>
  </si>
  <si>
    <t xml:space="preserve"> 0x51417b</t>
  </si>
  <si>
    <t xml:space="preserve"> 0x62fd43</t>
  </si>
  <si>
    <t xml:space="preserve"> 0x46f011</t>
  </si>
  <si>
    <t xml:space="preserve"> 0x54816c</t>
  </si>
  <si>
    <t>非跨步广播性能数据，每个从核的访问的主存地址空间各异，总空间连续</t>
    <phoneticPr fontId="18" type="noConversion"/>
  </si>
  <si>
    <t xml:space="preserve"> 0x204fac</t>
  </si>
  <si>
    <t xml:space="preserve"> 0x1c9291</t>
  </si>
  <si>
    <t xml:space="preserve"> 0x1c5d87</t>
  </si>
  <si>
    <t xml:space="preserve"> 0x1c48ad</t>
  </si>
  <si>
    <t xml:space="preserve"> 0x1c5aad</t>
  </si>
  <si>
    <t xml:space="preserve"> 0x1cc1c2</t>
  </si>
  <si>
    <t xml:space="preserve"> 0x1d4414</t>
  </si>
  <si>
    <t xml:space="preserve"> 0x1c6c34</t>
  </si>
  <si>
    <t xml:space="preserve"> 0x1cba60</t>
  </si>
  <si>
    <t xml:space="preserve"> 0x1caed5</t>
  </si>
  <si>
    <t xml:space="preserve"> 0x1c8f8b</t>
  </si>
  <si>
    <t xml:space="preserve"> 0x1cf5ec</t>
  </si>
  <si>
    <t xml:space="preserve"> 0x1cad6e</t>
  </si>
  <si>
    <t xml:space="preserve"> 0x1c9ddf</t>
  </si>
  <si>
    <t xml:space="preserve"> 0x1c3c1c</t>
  </si>
  <si>
    <t xml:space="preserve"> 0x1bea87</t>
  </si>
  <si>
    <t xml:space="preserve"> 0x2997bf</t>
  </si>
  <si>
    <t xml:space="preserve"> 0x2a3bd2</t>
  </si>
  <si>
    <t xml:space="preserve"> 0x2618fd</t>
  </si>
  <si>
    <t xml:space="preserve"> 0x266ddc</t>
  </si>
  <si>
    <t xml:space="preserve"> 0x25a495</t>
  </si>
  <si>
    <t xml:space="preserve"> 0x255a5a</t>
  </si>
  <si>
    <t xml:space="preserve"> 0x257186</t>
  </si>
  <si>
    <t xml:space="preserve"> 0x255c77</t>
  </si>
  <si>
    <t xml:space="preserve"> 0x25521f</t>
  </si>
  <si>
    <t xml:space="preserve"> 0x25cbb2</t>
  </si>
  <si>
    <t xml:space="preserve"> 0x25a011</t>
  </si>
  <si>
    <t xml:space="preserve"> 0x25d61c</t>
  </si>
  <si>
    <t xml:space="preserve"> 0x25f55d</t>
  </si>
  <si>
    <t xml:space="preserve"> 0x26cc90</t>
  </si>
  <si>
    <t xml:space="preserve"> 0x26f887</t>
  </si>
  <si>
    <t xml:space="preserve"> 0x260436</t>
  </si>
  <si>
    <t xml:space="preserve"> 0x25e42e</t>
  </si>
  <si>
    <t xml:space="preserve"> 0x259923</t>
  </si>
  <si>
    <t xml:space="preserve"> 0x25d7ae</t>
  </si>
  <si>
    <t xml:space="preserve"> 0x25b1a5</t>
  </si>
  <si>
    <t xml:space="preserve"> 0x25ae09</t>
  </si>
  <si>
    <t xml:space="preserve"> 0x25b7b3</t>
  </si>
  <si>
    <t xml:space="preserve"> 0x25b737</t>
  </si>
  <si>
    <t xml:space="preserve"> 0x25e106</t>
  </si>
  <si>
    <t xml:space="preserve"> 0x25e687</t>
  </si>
  <si>
    <t xml:space="preserve"> 0x25e9c7</t>
  </si>
  <si>
    <t xml:space="preserve"> 0x261fb8</t>
  </si>
  <si>
    <t xml:space="preserve"> 0x264a4e</t>
  </si>
  <si>
    <t xml:space="preserve"> 0x2642a3</t>
  </si>
  <si>
    <t xml:space="preserve"> 0x262493</t>
  </si>
  <si>
    <t xml:space="preserve"> 0x25a720</t>
  </si>
  <si>
    <t xml:space="preserve"> 0x25abbb</t>
  </si>
  <si>
    <t>row transpose broadcast test（发多次判一次）</t>
    <phoneticPr fontId="18" type="noConversion"/>
  </si>
  <si>
    <t>col transpose broadcast test（发多次判一次）</t>
    <phoneticPr fontId="18" type="noConversion"/>
  </si>
  <si>
    <t xml:space="preserve"> 0x20bd04</t>
  </si>
  <si>
    <t xml:space="preserve"> 0x1c584d</t>
  </si>
  <si>
    <t xml:space="preserve"> 0x1c0c1b</t>
  </si>
  <si>
    <t xml:space="preserve"> 0x1c00eb</t>
  </si>
  <si>
    <t xml:space="preserve"> 0x1be57b</t>
  </si>
  <si>
    <t xml:space="preserve"> 0x1c5572</t>
  </si>
  <si>
    <t xml:space="preserve"> 0x1cd6d3</t>
  </si>
  <si>
    <t xml:space="preserve"> 0x1bf237</t>
  </si>
  <si>
    <t xml:space="preserve"> 0x1bf39c</t>
  </si>
  <si>
    <t xml:space="preserve"> 0x1c4914</t>
  </si>
  <si>
    <t xml:space="preserve"> 0x1c6e77</t>
  </si>
  <si>
    <t xml:space="preserve"> 0x1c5d0b</t>
  </si>
  <si>
    <t xml:space="preserve"> 0x1c35dc</t>
  </si>
  <si>
    <t xml:space="preserve"> 0x1c260b</t>
  </si>
  <si>
    <t xml:space="preserve"> 0x1bc200</t>
  </si>
  <si>
    <t xml:space="preserve"> 0x1b9d8d</t>
  </si>
  <si>
    <t xml:space="preserve"> 0x2c2838</t>
  </si>
  <si>
    <t xml:space="preserve"> 0x2af8e7</t>
  </si>
  <si>
    <t xml:space="preserve"> 0x25d0ca</t>
  </si>
  <si>
    <t xml:space="preserve"> 0x26d58e</t>
  </si>
  <si>
    <t xml:space="preserve"> 0x255f55</t>
  </si>
  <si>
    <t xml:space="preserve"> 0x251d88</t>
  </si>
  <si>
    <t xml:space="preserve"> 0x250a21</t>
  </si>
  <si>
    <t xml:space="preserve"> 0x24cb6b</t>
  </si>
  <si>
    <t xml:space="preserve"> 0x249903</t>
  </si>
  <si>
    <t xml:space="preserve"> 0x25b2d7</t>
  </si>
  <si>
    <t xml:space="preserve"> 0x24faca</t>
  </si>
  <si>
    <t xml:space="preserve"> 0x251d26</t>
  </si>
  <si>
    <t xml:space="preserve"> 0x254922</t>
  </si>
  <si>
    <t xml:space="preserve"> 0x25d7d1</t>
  </si>
  <si>
    <t xml:space="preserve"> 0x26a25f</t>
  </si>
  <si>
    <t xml:space="preserve"> 0x268178</t>
  </si>
  <si>
    <t xml:space="preserve"> 0x2621a9</t>
  </si>
  <si>
    <t xml:space="preserve"> 0x260751</t>
  </si>
  <si>
    <t xml:space="preserve"> 0x25f3ec</t>
  </si>
  <si>
    <t xml:space="preserve"> 0x25e61a</t>
  </si>
  <si>
    <t xml:space="preserve"> 0x25b8d2</t>
  </si>
  <si>
    <t xml:space="preserve"> 0x257804</t>
  </si>
  <si>
    <t xml:space="preserve"> 0x255e86</t>
  </si>
  <si>
    <t xml:space="preserve"> 0x2587c4</t>
  </si>
  <si>
    <t xml:space="preserve"> 0x25c86f</t>
  </si>
  <si>
    <t xml:space="preserve"> 0x25abe0</t>
  </si>
  <si>
    <t xml:space="preserve"> 0x25c317</t>
  </si>
  <si>
    <t xml:space="preserve"> 0x25d539</t>
  </si>
  <si>
    <t xml:space="preserve"> 0x25dfac</t>
  </si>
  <si>
    <t xml:space="preserve"> 0x2606fe</t>
  </si>
  <si>
    <t xml:space="preserve"> 0x25b135</t>
  </si>
  <si>
    <t xml:space="preserve"> 0x25bfb5</t>
  </si>
  <si>
    <t xml:space="preserve"> 0x1bef90</t>
  </si>
  <si>
    <t xml:space="preserve"> 0x25a086</t>
  </si>
  <si>
    <t xml:space="preserve"> 0x1ba172</t>
  </si>
  <si>
    <t xml:space="preserve"> 0x25ee56</t>
  </si>
  <si>
    <t>单从核读（dma_get）所有从核一起发起</t>
    <phoneticPr fontId="18" type="noConversion"/>
  </si>
  <si>
    <t xml:space="preserve"> 0x108857</t>
  </si>
  <si>
    <t xml:space="preserve"> 0x10d431</t>
  </si>
  <si>
    <t xml:space="preserve"> 0x108e70</t>
  </si>
  <si>
    <t xml:space="preserve"> 0x1183ec</t>
  </si>
  <si>
    <t xml:space="preserve"> 0x10bf5b</t>
  </si>
  <si>
    <t xml:space="preserve"> 0x10c21b</t>
  </si>
  <si>
    <t xml:space="preserve"> 0x14fbc5</t>
  </si>
  <si>
    <t xml:space="preserve"> 0x11681b</t>
  </si>
  <si>
    <t xml:space="preserve"> 0x11cf00</t>
  </si>
  <si>
    <t xml:space="preserve"> 0x115ff6</t>
  </si>
  <si>
    <t xml:space="preserve"> 0x1ed232</t>
  </si>
  <si>
    <t xml:space="preserve"> 0x14e3a7</t>
  </si>
  <si>
    <t xml:space="preserve"> 0x19a96d</t>
  </si>
  <si>
    <t xml:space="preserve"> 0x18ba83</t>
  </si>
  <si>
    <t xml:space="preserve"> 0x14e6ab</t>
  </si>
  <si>
    <t xml:space="preserve"> 0x2f28bf</t>
  </si>
  <si>
    <t xml:space="preserve"> 0x1e7872</t>
  </si>
  <si>
    <t xml:space="preserve"> 0x255da9</t>
  </si>
  <si>
    <t xml:space="preserve"> 0x26c9d1</t>
  </si>
  <si>
    <t xml:space="preserve"> 0x2583e7</t>
  </si>
  <si>
    <t xml:space="preserve"> 0x1e8aa8</t>
  </si>
  <si>
    <t xml:space="preserve"> 0x5cc038</t>
  </si>
  <si>
    <t xml:space="preserve"> 0x3beb90</t>
  </si>
  <si>
    <t xml:space="preserve"> 0x45f8d9</t>
  </si>
  <si>
    <t xml:space="preserve"> 0x3e5be3</t>
  </si>
  <si>
    <t xml:space="preserve"> 0x3e5c6e</t>
  </si>
  <si>
    <t xml:space="preserve"> 0x3bc82f</t>
  </si>
  <si>
    <t xml:space="preserve"> 0xc25f4c</t>
  </si>
  <si>
    <t xml:space="preserve"> 0x5cfd90</t>
  </si>
  <si>
    <t xml:space="preserve"> 0x87ed5f</t>
  </si>
  <si>
    <t xml:space="preserve"> 0x7706b8</t>
  </si>
  <si>
    <t xml:space="preserve"> 0x6f5d31</t>
  </si>
  <si>
    <t xml:space="preserve"> 0x6a3dfa</t>
  </si>
  <si>
    <t xml:space="preserve"> 0x18daea3</t>
  </si>
  <si>
    <t xml:space="preserve"> 0xbeb82d</t>
  </si>
  <si>
    <t xml:space="preserve"> 0xc0319f</t>
  </si>
  <si>
    <t xml:space="preserve"> 0xc46afe</t>
  </si>
  <si>
    <t xml:space="preserve"> 0xc36b39</t>
  </si>
  <si>
    <t xml:space="preserve"> 0xc22243</t>
  </si>
  <si>
    <t xml:space="preserve"> 0x3356b37</t>
  </si>
  <si>
    <t xml:space="preserve"> 0x19f71d0</t>
  </si>
  <si>
    <t xml:space="preserve"> 0x198b655</t>
  </si>
  <si>
    <t xml:space="preserve"> 0x19567fc</t>
  </si>
  <si>
    <t xml:space="preserve"> 0x197546b</t>
  </si>
  <si>
    <t xml:space="preserve"> 0x18ee0d7</t>
  </si>
  <si>
    <t xml:space="preserve"> 0x3399292</t>
  </si>
  <si>
    <t xml:space="preserve"> 0x315945b</t>
  </si>
  <si>
    <t xml:space="preserve"> 0x31c8e63</t>
  </si>
  <si>
    <t xml:space="preserve"> 0x322b3d0</t>
  </si>
  <si>
    <t xml:space="preserve"> 0x31ec103</t>
  </si>
  <si>
    <t xml:space="preserve"> 0x6899bd</t>
  </si>
  <si>
    <t xml:space="preserve"> 0x8f2b74</t>
  </si>
  <si>
    <t xml:space="preserve"> 0x77f79</t>
  </si>
  <si>
    <t xml:space="preserve"> 0x3be90</t>
  </si>
  <si>
    <t xml:space="preserve"> 0x3c0c9</t>
  </si>
  <si>
    <t xml:space="preserve"> 0x54558</t>
  </si>
  <si>
    <t xml:space="preserve"> 0xb6045</t>
  </si>
  <si>
    <t xml:space="preserve"> 0x172921</t>
  </si>
  <si>
    <t xml:space="preserve"> 0x2e4baf</t>
  </si>
  <si>
    <t xml:space="preserve"> 0x5c0790</t>
  </si>
  <si>
    <t xml:space="preserve"> 0xb80516</t>
  </si>
  <si>
    <t xml:space="preserve"> 0x2ecee95</t>
  </si>
  <si>
    <t>dma_get单从核跨步（核组同时发）test（发一次判一次）</t>
    <phoneticPr fontId="18" type="noConversion"/>
  </si>
  <si>
    <t>dma_get单从核（核组同时发）test（发一次判一次）</t>
    <phoneticPr fontId="18" type="noConversion"/>
  </si>
  <si>
    <t xml:space="preserve"> 0x1723fff</t>
    <phoneticPr fontId="18" type="noConversion"/>
  </si>
  <si>
    <t>bandwidth</t>
    <phoneticPr fontId="18" type="noConversion"/>
  </si>
  <si>
    <t>转置dma_get单从核跨步（核组同时发）test（发多次判一次）</t>
    <phoneticPr fontId="18" type="noConversion"/>
  </si>
  <si>
    <t>转置dma_get单从核（核组同时发）test（发多次判一次）</t>
    <phoneticPr fontId="18" type="noConversion"/>
  </si>
  <si>
    <t xml:space="preserve"> 0x69f93e</t>
  </si>
  <si>
    <t xml:space="preserve"> 0x8a9809</t>
  </si>
  <si>
    <t xml:space="preserve"> 0x3b5395</t>
  </si>
  <si>
    <t xml:space="preserve"> 0x1fc822</t>
  </si>
  <si>
    <t xml:space="preserve"> 26c0</t>
  </si>
  <si>
    <t xml:space="preserve"> 0x1debbd</t>
  </si>
  <si>
    <t xml:space="preserve"> 0x2289c5</t>
  </si>
  <si>
    <t xml:space="preserve"> 45c0</t>
  </si>
  <si>
    <t xml:space="preserve"> 0x20daa9</t>
  </si>
  <si>
    <t xml:space="preserve"> 0x1dc82e</t>
  </si>
  <si>
    <t xml:space="preserve"> 64c0</t>
  </si>
  <si>
    <t xml:space="preserve"> 0x1e1340</t>
  </si>
  <si>
    <t xml:space="preserve"> 0x1e8b52</t>
  </si>
  <si>
    <t xml:space="preserve"> 83c0</t>
  </si>
  <si>
    <t xml:space="preserve"> 0x1ea219</t>
  </si>
  <si>
    <t xml:space="preserve"> 0x1dffd2</t>
  </si>
  <si>
    <t xml:space="preserve"> a2c0</t>
  </si>
  <si>
    <t xml:space="preserve"> 0x1e1141</t>
  </si>
  <si>
    <t xml:space="preserve"> b240</t>
  </si>
  <si>
    <t xml:space="preserve"> 0x1ebeb4</t>
  </si>
  <si>
    <t xml:space="preserve"> c1c0</t>
  </si>
  <si>
    <t xml:space="preserve"> 0x1eb604</t>
  </si>
  <si>
    <t xml:space="preserve"> d140</t>
  </si>
  <si>
    <t xml:space="preserve"> 0x1e1665</t>
  </si>
  <si>
    <t xml:space="preserve"> e0c0</t>
  </si>
  <si>
    <t xml:space="preserve"> 0x1e33f3</t>
  </si>
  <si>
    <t xml:space="preserve"> f040</t>
  </si>
  <si>
    <t xml:space="preserve"> 0x1e7337</t>
  </si>
  <si>
    <t xml:space="preserve"> 0x774ce1</t>
  </si>
  <si>
    <t xml:space="preserve"> 0x40318a</t>
  </si>
  <si>
    <t xml:space="preserve"> 0x38efc0</t>
  </si>
  <si>
    <t xml:space="preserve"> 0x474961</t>
  </si>
  <si>
    <t xml:space="preserve"> 0x4136e1</t>
  </si>
  <si>
    <t xml:space="preserve"> 0x370401</t>
  </si>
  <si>
    <t xml:space="preserve"> 0x34a373</t>
  </si>
  <si>
    <t xml:space="preserve"> 0x32510e</t>
  </si>
  <si>
    <t xml:space="preserve"> 0x32c8bb</t>
  </si>
  <si>
    <t xml:space="preserve"> 0x33b3e4</t>
  </si>
  <si>
    <t xml:space="preserve"> 0x3262bd</t>
  </si>
  <si>
    <t xml:space="preserve"> 0x35c881</t>
  </si>
  <si>
    <t xml:space="preserve"> 0x333673</t>
  </si>
  <si>
    <t xml:space="preserve"> 0x31e191</t>
  </si>
  <si>
    <t xml:space="preserve"> 0x30b260</t>
  </si>
  <si>
    <t xml:space="preserve"> 0x301f08</t>
  </si>
  <si>
    <t xml:space="preserve"> 0xf61b99</t>
  </si>
  <si>
    <t xml:space="preserve"> 0x81a6bd</t>
  </si>
  <si>
    <t xml:space="preserve"> 0x7404f6</t>
  </si>
  <si>
    <t xml:space="preserve"> 0x8b9507</t>
  </si>
  <si>
    <t xml:space="preserve"> 0x823e04</t>
  </si>
  <si>
    <t xml:space="preserve"> 0x6c5b1c</t>
  </si>
  <si>
    <t xml:space="preserve"> 0x695ee6</t>
  </si>
  <si>
    <t xml:space="preserve"> 0x63319b</t>
  </si>
  <si>
    <t xml:space="preserve"> 0x673eea</t>
  </si>
  <si>
    <t xml:space="preserve"> 0x63e305</t>
  </si>
  <si>
    <t xml:space="preserve"> 0x62ee8d</t>
  </si>
  <si>
    <t xml:space="preserve"> 0x6a4fe4</t>
  </si>
  <si>
    <t xml:space="preserve"> 0x6a4566</t>
  </si>
  <si>
    <t xml:space="preserve"> 0x61d708</t>
  </si>
  <si>
    <t xml:space="preserve"> 0x623dd0</t>
  </si>
  <si>
    <t xml:space="preserve"> 0x604a7d</t>
  </si>
  <si>
    <t xml:space="preserve"> 0x1e05fdf</t>
  </si>
  <si>
    <t xml:space="preserve"> 0x128bbdc</t>
  </si>
  <si>
    <t xml:space="preserve"> 0xf7c4c2</t>
  </si>
  <si>
    <t xml:space="preserve"> 0x1159d7d</t>
  </si>
  <si>
    <t xml:space="preserve"> 0xfdb4c5</t>
  </si>
  <si>
    <t xml:space="preserve"> 0xd48918</t>
  </si>
  <si>
    <t xml:space="preserve"> 0xd29c6f</t>
  </si>
  <si>
    <t xml:space="preserve"> 0xcad3fd</t>
  </si>
  <si>
    <t xml:space="preserve"> 0xcdd388</t>
  </si>
  <si>
    <t xml:space="preserve"> 0xc9c556</t>
  </si>
  <si>
    <t xml:space="preserve"> 0xc7c509</t>
  </si>
  <si>
    <t xml:space="preserve"> 0xd6604d</t>
  </si>
  <si>
    <t xml:space="preserve"> 0xd084f5</t>
  </si>
  <si>
    <t xml:space="preserve"> 0xc59358</t>
  </si>
  <si>
    <t xml:space="preserve"> 0xc46a01</t>
  </si>
  <si>
    <t xml:space="preserve"> 0xc1afeb</t>
  </si>
  <si>
    <t xml:space="preserve"> 0x3d3ac06</t>
  </si>
  <si>
    <t xml:space="preserve"> 0x2acb6e7</t>
  </si>
  <si>
    <t xml:space="preserve"> 0x24cea25</t>
  </si>
  <si>
    <t xml:space="preserve"> 0x23951ba</t>
  </si>
  <si>
    <t xml:space="preserve"> 0x203e5fa</t>
  </si>
  <si>
    <t xml:space="preserve"> 0x1deb60c</t>
  </si>
  <si>
    <t xml:space="preserve"> 0x1d4f434</t>
  </si>
  <si>
    <t xml:space="preserve"> 0x1c71484</t>
  </si>
  <si>
    <t xml:space="preserve"> 0x1b8d6a7</t>
  </si>
  <si>
    <t xml:space="preserve"> 0x1a9acc0</t>
  </si>
  <si>
    <t xml:space="preserve"> 0x1a3a841</t>
  </si>
  <si>
    <t xml:space="preserve"> 0x1aedafd</t>
  </si>
  <si>
    <t xml:space="preserve"> 0x1a21b44</t>
  </si>
  <si>
    <t xml:space="preserve"> 0x1955833</t>
  </si>
  <si>
    <t xml:space="preserve"> 0x193e282</t>
  </si>
  <si>
    <t xml:space="preserve"> 0x18660e8</t>
  </si>
  <si>
    <t xml:space="preserve"> 0x59dee53</t>
  </si>
  <si>
    <t xml:space="preserve"> 0x4d84801</t>
  </si>
  <si>
    <t xml:space="preserve"> 0x4a6b74a</t>
  </si>
  <si>
    <t xml:space="preserve"> 0x43aae5b</t>
  </si>
  <si>
    <t xml:space="preserve"> 0x3f95719</t>
  </si>
  <si>
    <t xml:space="preserve"> 0x3e40f91</t>
  </si>
  <si>
    <t xml:space="preserve"> 0x3bed2be</t>
  </si>
  <si>
    <t xml:space="preserve"> 0x39027b4</t>
  </si>
  <si>
    <t xml:space="preserve"> 0x365bfa3</t>
  </si>
  <si>
    <t xml:space="preserve"> 0x35a01eb</t>
  </si>
  <si>
    <t xml:space="preserve"> 0x36304e9</t>
  </si>
  <si>
    <t xml:space="preserve"> 0x34def2e</t>
  </si>
  <si>
    <t xml:space="preserve"> 0x33c2583</t>
  </si>
  <si>
    <t xml:space="preserve"> 0x33841a8</t>
  </si>
  <si>
    <t xml:space="preserve"> 0x315e98a</t>
  </si>
  <si>
    <t>dma_get单从核跨步（核组同时发，跨步为64B奇数倍）test（发一次判一次）</t>
    <phoneticPr fontId="18" type="noConversion"/>
  </si>
  <si>
    <t>dma_put单从核跨步（核组同时发）test（发一次判一次）</t>
    <phoneticPr fontId="18" type="noConversion"/>
  </si>
  <si>
    <t xml:space="preserve"> 0x817faa</t>
  </si>
  <si>
    <t xml:space="preserve"> 0x9ad624</t>
  </si>
  <si>
    <t xml:space="preserve"> 0x9eb76</t>
  </si>
  <si>
    <t xml:space="preserve"> 0xa68a22</t>
  </si>
  <si>
    <t xml:space="preserve"> 0xa3748</t>
  </si>
  <si>
    <t xml:space="preserve"> 0xa3807</t>
  </si>
  <si>
    <t xml:space="preserve"> 0x135136d</t>
  </si>
  <si>
    <t xml:space="preserve"> 0xb0da4</t>
  </si>
  <si>
    <t xml:space="preserve"> 0xb2789</t>
  </si>
  <si>
    <t xml:space="preserve"> 0xb062c</t>
  </si>
  <si>
    <t xml:space="preserve"> 0x2660f13</t>
  </si>
  <si>
    <t xml:space="preserve"> 0xd1748</t>
  </si>
  <si>
    <t xml:space="preserve"> 0x17ee58</t>
  </si>
  <si>
    <t xml:space="preserve"> 0x127511</t>
  </si>
  <si>
    <t xml:space="preserve"> 0xd1462</t>
  </si>
  <si>
    <t xml:space="preserve"> 0x4cb97f2</t>
  </si>
  <si>
    <t xml:space="preserve"> 0x1646e7</t>
  </si>
  <si>
    <t xml:space="preserve"> 0x2f873a</t>
  </si>
  <si>
    <t xml:space="preserve"> 0x2a679d</t>
  </si>
  <si>
    <t xml:space="preserve"> 0x28d849</t>
  </si>
  <si>
    <t xml:space="preserve"> 0x15cb27</t>
  </si>
  <si>
    <t xml:space="preserve"> 0x9997d63</t>
  </si>
  <si>
    <t xml:space="preserve"> 0x2c3169</t>
  </si>
  <si>
    <t xml:space="preserve"> 0x56ff16</t>
  </si>
  <si>
    <t xml:space="preserve"> 0x3a838e</t>
  </si>
  <si>
    <t xml:space="preserve"> 0x3a91de</t>
  </si>
  <si>
    <t xml:space="preserve"> 0x29f165</t>
  </si>
  <si>
    <t xml:space="preserve"> 0x135b1485</t>
  </si>
  <si>
    <t xml:space="preserve"> 0x57b8cf</t>
  </si>
  <si>
    <t xml:space="preserve"> 0x541da5</t>
  </si>
  <si>
    <t xml:space="preserve"> 0x558317</t>
  </si>
  <si>
    <t xml:space="preserve"> 0x65c761</t>
  </si>
  <si>
    <t xml:space="preserve"> 0x56b4a9</t>
  </si>
  <si>
    <t xml:space="preserve"> 0x28dc4fb3</t>
  </si>
  <si>
    <t xml:space="preserve"> 0xb0d4dd</t>
  </si>
  <si>
    <t xml:space="preserve"> 0xa82b9f</t>
  </si>
  <si>
    <t xml:space="preserve"> 0xaedf13</t>
  </si>
  <si>
    <t xml:space="preserve"> 0xa79470</t>
  </si>
  <si>
    <t xml:space="preserve"> 0xa8d59e</t>
  </si>
  <si>
    <t xml:space="preserve"> 0x57771203</t>
  </si>
  <si>
    <t xml:space="preserve"> 0x16168e4</t>
  </si>
  <si>
    <t xml:space="preserve"> 0x150329b</t>
  </si>
  <si>
    <t xml:space="preserve"> 0x15d51a4</t>
  </si>
  <si>
    <t xml:space="preserve"> 0x14e87f0</t>
  </si>
  <si>
    <t xml:space="preserve"> 0x1513fc2</t>
  </si>
  <si>
    <t xml:space="preserve"> 0x2c2ea19</t>
  </si>
  <si>
    <t xml:space="preserve"> 0x29e7d7c</t>
  </si>
  <si>
    <t xml:space="preserve"> 0x2c1b887</t>
  </si>
  <si>
    <t xml:space="preserve"> 0x2a032bf</t>
  </si>
  <si>
    <t xml:space="preserve"> 0x2a1fbb4</t>
  </si>
  <si>
    <t xml:space="preserve"> 0x817e2d</t>
  </si>
  <si>
    <t xml:space="preserve"> 0x3b236</t>
  </si>
  <si>
    <t xml:space="preserve"> 0x3bab0</t>
  </si>
  <si>
    <t xml:space="preserve"> 0x51b53</t>
  </si>
  <si>
    <t xml:space="preserve"> 0xac134</t>
  </si>
  <si>
    <t xml:space="preserve"> 0x15ba49</t>
  </si>
  <si>
    <t xml:space="preserve"> 0x2c0b78</t>
  </si>
  <si>
    <t xml:space="preserve"> 0x587934</t>
  </si>
  <si>
    <t xml:space="preserve"> 0xb0f837</t>
  </si>
  <si>
    <t xml:space="preserve"> 0x161dc33</t>
  </si>
  <si>
    <t xml:space="preserve"> 0x2c3ac90</t>
  </si>
  <si>
    <t xml:space="preserve"> 0x4d7b0c6</t>
  </si>
  <si>
    <t xml:space="preserve"> 0x274a4f6</t>
  </si>
  <si>
    <t xml:space="preserve"> 0x18addc9</t>
  </si>
  <si>
    <t xml:space="preserve"> 0x12a10b0</t>
  </si>
  <si>
    <t xml:space="preserve"> 0xdc972d</t>
  </si>
  <si>
    <t xml:space="preserve"> 0xc814a4</t>
  </si>
  <si>
    <t xml:space="preserve"> 0xa1c8b6</t>
  </si>
  <si>
    <t xml:space="preserve"> 0x6bc109</t>
  </si>
  <si>
    <t xml:space="preserve"> 0x66eaa0</t>
  </si>
  <si>
    <t xml:space="preserve"> 0x67b54b</t>
  </si>
  <si>
    <t xml:space="preserve"> 0x6de4f4</t>
  </si>
  <si>
    <t xml:space="preserve"> 0x68b6dd</t>
  </si>
  <si>
    <t xml:space="preserve"> 0x6b8cc5</t>
  </si>
  <si>
    <t xml:space="preserve"> 0x6de6fc</t>
  </si>
  <si>
    <t xml:space="preserve"> 0x71ca98</t>
  </si>
  <si>
    <t xml:space="preserve"> 0x64fe18</t>
  </si>
  <si>
    <t xml:space="preserve"> 0x99cd45e</t>
  </si>
  <si>
    <t xml:space="preserve"> 0x52f4d84</t>
  </si>
  <si>
    <t xml:space="preserve"> 0x31402d2</t>
  </si>
  <si>
    <t xml:space="preserve"> 0x2d1c91a</t>
  </si>
  <si>
    <t xml:space="preserve"> 0x1a96774</t>
  </si>
  <si>
    <t xml:space="preserve"> 0x1d7073d</t>
  </si>
  <si>
    <t xml:space="preserve"> 0x135e305</t>
  </si>
  <si>
    <t xml:space="preserve"> 0xd9a210</t>
  </si>
  <si>
    <t xml:space="preserve"> 0xd15279</t>
  </si>
  <si>
    <t xml:space="preserve"> 0xd43a57</t>
  </si>
  <si>
    <t xml:space="preserve"> 0xd58834</t>
  </si>
  <si>
    <t xml:space="preserve"> 0x81a215</t>
  </si>
  <si>
    <t xml:space="preserve"> 0x82ede1</t>
  </si>
  <si>
    <t xml:space="preserve"> 0x84513a</t>
  </si>
  <si>
    <t xml:space="preserve"> 0x9198ef</t>
  </si>
  <si>
    <t xml:space="preserve"> 0x80cd1c</t>
  </si>
  <si>
    <t xml:space="preserve"> 0x16b38732</t>
  </si>
  <si>
    <t xml:space="preserve"> 0xa4927a2</t>
  </si>
  <si>
    <t xml:space="preserve"> 0x56a4be5</t>
  </si>
  <si>
    <t xml:space="preserve"> 0x56fb4ae</t>
  </si>
  <si>
    <t xml:space="preserve"> 0x2f9b100</t>
  </si>
  <si>
    <t xml:space="preserve"> 0x37dee95</t>
  </si>
  <si>
    <t xml:space="preserve"> 0x2e55591</t>
  </si>
  <si>
    <t xml:space="preserve"> 0x1ac467f</t>
  </si>
  <si>
    <t xml:space="preserve"> 0x1a99a66</t>
  </si>
  <si>
    <t xml:space="preserve"> 0x15a2a1b</t>
  </si>
  <si>
    <t xml:space="preserve"> 0x15bb927</t>
  </si>
  <si>
    <t xml:space="preserve"> 0x1574e8f</t>
  </si>
  <si>
    <t xml:space="preserve"> 0x15a521f</t>
  </si>
  <si>
    <t xml:space="preserve"> 0x1090461</t>
  </si>
  <si>
    <t xml:space="preserve"> 0x11af3c1</t>
  </si>
  <si>
    <t xml:space="preserve"> 0x101237f</t>
  </si>
  <si>
    <t xml:space="preserve"> 0x3d351651</t>
  </si>
  <si>
    <t xml:space="preserve"> 0x1569f821</t>
  </si>
  <si>
    <t xml:space="preserve"> 0xac312c3</t>
  </si>
  <si>
    <t xml:space="preserve"> 0xac30f18</t>
  </si>
  <si>
    <t xml:space="preserve"> 0x619ad26</t>
  </si>
  <si>
    <t xml:space="preserve"> 0x76dc46c</t>
  </si>
  <si>
    <t xml:space="preserve"> 0x5fa5631</t>
  </si>
  <si>
    <t xml:space="preserve"> 0x39b7ac1</t>
  </si>
  <si>
    <t xml:space="preserve"> 0x35a2a8f</t>
  </si>
  <si>
    <t xml:space="preserve"> 0x307ca67</t>
  </si>
  <si>
    <t xml:space="preserve"> 0x2a8d9fc</t>
  </si>
  <si>
    <t xml:space="preserve"> 0x2ab198f</t>
  </si>
  <si>
    <t xml:space="preserve"> 0x25e908e</t>
  </si>
  <si>
    <t xml:space="preserve"> 0x2577a28</t>
  </si>
  <si>
    <t xml:space="preserve"> 0x21fc9ef</t>
  </si>
  <si>
    <t xml:space="preserve"> 0x1fce372</t>
  </si>
  <si>
    <t xml:space="preserve"> 0x8a2c55ea</t>
  </si>
  <si>
    <t xml:space="preserve"> 0x3806ce55</t>
  </si>
  <si>
    <t xml:space="preserve"> 0x1a98e7ae</t>
  </si>
  <si>
    <t xml:space="preserve"> 0x17f4f6e2</t>
  </si>
  <si>
    <t xml:space="preserve"> 0xe0a7d72</t>
  </si>
  <si>
    <t xml:space="preserve"> 0x10072d88</t>
  </si>
  <si>
    <t xml:space="preserve"> 0xb03f947</t>
  </si>
  <si>
    <t xml:space="preserve"> 0x81d8263</t>
  </si>
  <si>
    <t xml:space="preserve"> 0x6b70483</t>
  </si>
  <si>
    <t xml:space="preserve"> 0x5dc688b</t>
  </si>
  <si>
    <t xml:space="preserve"> 0x57c11eb</t>
  </si>
  <si>
    <t xml:space="preserve"> 0x5359734</t>
  </si>
  <si>
    <t xml:space="preserve"> 0x4d7213f</t>
  </si>
  <si>
    <t xml:space="preserve"> 0x472ef68</t>
  </si>
  <si>
    <t xml:space="preserve"> 0x46db325</t>
  </si>
  <si>
    <t xml:space="preserve"> 0x3f7a751</t>
  </si>
  <si>
    <t xml:space="preserve"> 0x7c93ff0d</t>
  </si>
  <si>
    <t xml:space="preserve"> 0x48186c62</t>
  </si>
  <si>
    <t xml:space="preserve"> 0x43842e75</t>
  </si>
  <si>
    <t xml:space="preserve"> 0x26c3f09d</t>
  </si>
  <si>
    <t xml:space="preserve"> 0x289df2f3</t>
  </si>
  <si>
    <t xml:space="preserve"> 0x1a54c8fa</t>
  </si>
  <si>
    <t xml:space="preserve"> 0x16702cd6</t>
  </si>
  <si>
    <t xml:space="preserve"> 0x120856be</t>
  </si>
  <si>
    <t xml:space="preserve"> 0x1042b1c7</t>
  </si>
  <si>
    <t xml:space="preserve"> 0xf08130c</t>
  </si>
  <si>
    <t xml:space="preserve"> 0xe10cb15</t>
  </si>
  <si>
    <t xml:space="preserve"> 0xd121a69</t>
  </si>
  <si>
    <t xml:space="preserve"> 0xc6466b6</t>
  </si>
  <si>
    <t>dma_put单从核非跨步（核组同时发）test（发多次判一次）</t>
    <phoneticPr fontId="18" type="noConversion"/>
  </si>
  <si>
    <t>dma_put单从核（核组同时发）跨步64B的奇数倍test（发多次判一次）</t>
    <phoneticPr fontId="18" type="noConversion"/>
  </si>
  <si>
    <t>S</t>
    <phoneticPr fontId="18" type="noConversion"/>
  </si>
  <si>
    <t>batch*B</t>
    <phoneticPr fontId="18" type="noConversion"/>
  </si>
  <si>
    <t>D</t>
    <phoneticPr fontId="18" type="noConversion"/>
  </si>
  <si>
    <t>BW</t>
    <phoneticPr fontId="18" type="noConversion"/>
  </si>
  <si>
    <t>TB_DMAB</t>
    <phoneticPr fontId="18" type="noConversion"/>
  </si>
  <si>
    <t>TB_DMAA</t>
  </si>
  <si>
    <t>TB_DMAC</t>
    <phoneticPr fontId="18" type="noConversion"/>
  </si>
  <si>
    <t>S=100</t>
    <phoneticPr fontId="18" type="noConversion"/>
  </si>
  <si>
    <t>Case</t>
    <phoneticPr fontId="18" type="noConversion"/>
  </si>
  <si>
    <t>TFlops</t>
    <phoneticPr fontId="18" type="noConversion"/>
  </si>
  <si>
    <t>ACE</t>
    <phoneticPr fontId="18" type="noConversion"/>
  </si>
  <si>
    <t>ratio</t>
    <phoneticPr fontId="18" type="noConversion"/>
  </si>
  <si>
    <t xml:space="preserve">800M </t>
    <phoneticPr fontId="18" type="noConversion"/>
  </si>
  <si>
    <t>ratio</t>
    <phoneticPr fontId="18" type="noConversion"/>
  </si>
  <si>
    <t xml:space="preserve"> 7c0</t>
    <phoneticPr fontId="18" type="noConversion"/>
  </si>
  <si>
    <t>AI芯片</t>
  </si>
  <si>
    <t>AI芯片</t>
    <phoneticPr fontId="18" type="noConversion"/>
  </si>
  <si>
    <t xml:space="preserve">AI芯片 </t>
  </si>
  <si>
    <t xml:space="preserve">AI芯片 </t>
    <phoneticPr fontId="18" type="noConversion"/>
  </si>
  <si>
    <t>ratio</t>
  </si>
  <si>
    <t>ratio</t>
    <phoneticPr fontId="18" type="noConversion"/>
  </si>
  <si>
    <t>AI芯片</t>
    <phoneticPr fontId="18" type="noConversion"/>
  </si>
  <si>
    <t>主核</t>
    <phoneticPr fontId="18" type="noConversion"/>
  </si>
  <si>
    <t>从核</t>
    <phoneticPr fontId="18" type="noConversion"/>
  </si>
  <si>
    <t>环网</t>
    <phoneticPr fontId="18" type="noConversion"/>
  </si>
  <si>
    <t>存控</t>
    <phoneticPr fontId="18" type="noConversion"/>
  </si>
  <si>
    <t>硬仿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</si>
</sst>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4"/>
      <color theme="1"/>
      <name val="Times New Roman"/>
      <family val="1"/>
    </font>
    <font>
      <sz val="10.5"/>
      <color theme="1"/>
      <name val="Calibri"/>
      <family val="2"/>
    </font>
    <font>
      <b/>
      <sz val="10.5"/>
      <color rgb="FF000000"/>
      <name val="宋体"/>
      <family val="3"/>
      <charset val="134"/>
    </font>
    <font>
      <b/>
      <sz val="10.5"/>
      <color rgb="FF000000"/>
      <name val="Times New Roman"/>
      <family val="1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sz val="11"/>
      <color rgb="FF000000"/>
      <name val="Calibri"/>
      <family val="2"/>
    </font>
    <font>
      <b/>
      <sz val="9"/>
      <color theme="1"/>
      <name val="宋体"/>
      <family val="3"/>
      <charset val="134"/>
    </font>
    <font>
      <b/>
      <sz val="9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theme="1"/>
      <name val="Times New Roman"/>
      <family val="1"/>
    </font>
    <font>
      <sz val="1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0" fontId="31" fillId="0" borderId="10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34" fillId="33" borderId="0" xfId="0" applyFont="1" applyFill="1" applyAlignment="1">
      <alignment horizontal="center" vertical="center"/>
    </xf>
    <xf numFmtId="0" fontId="35" fillId="33" borderId="0" xfId="0" applyFont="1" applyFill="1" applyAlignment="1">
      <alignment horizontal="center" vertical="center"/>
    </xf>
    <xf numFmtId="0" fontId="0" fillId="3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5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B2:F4"/>
  <sheetViews>
    <sheetView workbookViewId="0">
      <selection activeCell="B31" sqref="B31"/>
    </sheetView>
  </sheetViews>
  <sheetFormatPr defaultRowHeight="14.25"/>
  <sheetData>
    <row r="2" spans="2:6">
      <c r="C2" t="s">
        <v>768</v>
      </c>
      <c r="D2" t="s">
        <v>769</v>
      </c>
      <c r="E2" t="s">
        <v>770</v>
      </c>
      <c r="F2" t="s">
        <v>771</v>
      </c>
    </row>
    <row r="3" spans="2:6">
      <c r="B3" t="s">
        <v>772</v>
      </c>
      <c r="C3">
        <v>2000</v>
      </c>
      <c r="D3">
        <v>2360</v>
      </c>
      <c r="E3">
        <v>2000</v>
      </c>
      <c r="F3">
        <v>1600</v>
      </c>
    </row>
    <row r="4" spans="2:6">
      <c r="B4" t="s">
        <v>762</v>
      </c>
      <c r="C4">
        <v>2000</v>
      </c>
      <c r="D4">
        <v>2500</v>
      </c>
      <c r="E4">
        <v>2200</v>
      </c>
      <c r="F4">
        <v>1600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X98"/>
  <sheetViews>
    <sheetView tabSelected="1" zoomScaleNormal="100" workbookViewId="0">
      <selection activeCell="J13" sqref="J13"/>
    </sheetView>
  </sheetViews>
  <sheetFormatPr defaultRowHeight="14.25"/>
  <cols>
    <col min="1" max="4" width="9" style="1"/>
    <col min="5" max="5" width="10" style="1" customWidth="1"/>
    <col min="6" max="6" width="9" style="1"/>
    <col min="7" max="8" width="9" style="46"/>
    <col min="9" max="9" width="9" style="47"/>
    <col min="10" max="13" width="9" style="1"/>
    <col min="14" max="14" width="10.875" style="1" customWidth="1"/>
    <col min="15" max="15" width="9" style="1"/>
    <col min="16" max="17" width="9" style="46"/>
    <col min="18" max="18" width="9" style="50"/>
    <col min="19" max="19" width="9" style="47"/>
    <col min="20" max="23" width="9" style="1"/>
    <col min="24" max="24" width="10.875" style="1" customWidth="1"/>
    <col min="25" max="25" width="9" style="1"/>
    <col min="26" max="26" width="9" style="50"/>
    <col min="27" max="31" width="9" style="1"/>
    <col min="32" max="32" width="11.5" style="1" customWidth="1"/>
    <col min="33" max="33" width="9" style="1"/>
    <col min="34" max="34" width="9" style="50"/>
    <col min="35" max="39" width="9" style="1"/>
    <col min="40" max="40" width="11.625" style="1" customWidth="1"/>
    <col min="41" max="41" width="9" style="1"/>
    <col min="42" max="42" width="9" style="50"/>
    <col min="43" max="47" width="9" style="1"/>
    <col min="48" max="48" width="11.75" style="1" customWidth="1"/>
    <col min="49" max="16384" width="9" style="1"/>
  </cols>
  <sheetData>
    <row r="1" spans="1:50" ht="25.5" customHeight="1">
      <c r="A1" s="52" t="s">
        <v>281</v>
      </c>
      <c r="B1" s="52"/>
      <c r="C1" s="52"/>
      <c r="D1" s="52"/>
      <c r="E1" s="52"/>
      <c r="J1" s="51" t="s">
        <v>280</v>
      </c>
      <c r="K1" s="51"/>
      <c r="L1" s="51"/>
      <c r="M1" s="51"/>
      <c r="N1" s="51"/>
      <c r="T1" s="51" t="s">
        <v>358</v>
      </c>
      <c r="U1" s="51"/>
      <c r="V1" s="51"/>
      <c r="W1" s="51"/>
      <c r="X1" s="51"/>
      <c r="AB1" s="51" t="s">
        <v>359</v>
      </c>
      <c r="AC1" s="51"/>
      <c r="AD1" s="51"/>
      <c r="AE1" s="51"/>
      <c r="AF1" s="51"/>
      <c r="AJ1" s="51" t="s">
        <v>279</v>
      </c>
      <c r="AK1" s="51"/>
      <c r="AL1" s="51"/>
      <c r="AM1" s="51"/>
      <c r="AN1" s="51"/>
      <c r="AR1" s="51" t="s">
        <v>282</v>
      </c>
      <c r="AS1" s="51"/>
      <c r="AT1" s="51"/>
      <c r="AU1" s="51"/>
      <c r="AV1" s="51"/>
    </row>
    <row r="2" spans="1:50" ht="17.25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30</v>
      </c>
      <c r="F2" s="1" t="s">
        <v>767</v>
      </c>
      <c r="G2" s="46" t="s">
        <v>766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1" t="s">
        <v>767</v>
      </c>
      <c r="P2" s="46" t="s">
        <v>766</v>
      </c>
      <c r="T2" s="29" t="s">
        <v>25</v>
      </c>
      <c r="U2" s="29" t="s">
        <v>26</v>
      </c>
      <c r="V2" s="29" t="s">
        <v>27</v>
      </c>
      <c r="W2" s="29" t="s">
        <v>28</v>
      </c>
      <c r="X2" s="29" t="s">
        <v>29</v>
      </c>
      <c r="Y2" s="50" t="s">
        <v>761</v>
      </c>
      <c r="Z2" s="50" t="s">
        <v>765</v>
      </c>
      <c r="AB2" s="29" t="s">
        <v>25</v>
      </c>
      <c r="AC2" s="29" t="s">
        <v>26</v>
      </c>
      <c r="AD2" s="29" t="s">
        <v>27</v>
      </c>
      <c r="AE2" s="29" t="s">
        <v>28</v>
      </c>
      <c r="AF2" s="29" t="s">
        <v>29</v>
      </c>
      <c r="AG2" s="50" t="s">
        <v>761</v>
      </c>
      <c r="AH2" s="50" t="s">
        <v>765</v>
      </c>
      <c r="AJ2" s="2" t="s">
        <v>25</v>
      </c>
      <c r="AK2" s="2" t="s">
        <v>26</v>
      </c>
      <c r="AL2" s="2" t="s">
        <v>27</v>
      </c>
      <c r="AM2" s="2" t="s">
        <v>28</v>
      </c>
      <c r="AN2" s="2" t="s">
        <v>29</v>
      </c>
      <c r="AO2" s="1" t="s">
        <v>767</v>
      </c>
      <c r="AP2" s="50" t="s">
        <v>766</v>
      </c>
      <c r="AR2" s="2" t="s">
        <v>25</v>
      </c>
      <c r="AS2" s="2" t="s">
        <v>26</v>
      </c>
      <c r="AT2" s="2" t="s">
        <v>27</v>
      </c>
      <c r="AU2" s="2" t="s">
        <v>28</v>
      </c>
      <c r="AV2" s="2" t="s">
        <v>29</v>
      </c>
      <c r="AW2" s="1" t="s">
        <v>767</v>
      </c>
      <c r="AX2" s="1" t="s">
        <v>766</v>
      </c>
    </row>
    <row r="3" spans="1:50">
      <c r="A3" s="30">
        <v>40</v>
      </c>
      <c r="B3" s="30">
        <v>40</v>
      </c>
      <c r="C3" s="30" t="s">
        <v>0</v>
      </c>
      <c r="D3" s="30" t="s">
        <v>73</v>
      </c>
      <c r="E3" s="30">
        <v>2.23</v>
      </c>
      <c r="F3">
        <v>2.04</v>
      </c>
      <c r="G3">
        <f t="shared" ref="G3:G50" si="0">F3/E3*100</f>
        <v>91.479820627802695</v>
      </c>
      <c r="H3"/>
      <c r="J3" s="30">
        <v>40</v>
      </c>
      <c r="K3" s="30">
        <v>40</v>
      </c>
      <c r="L3" s="30" t="s">
        <v>0</v>
      </c>
      <c r="M3" s="30" t="s">
        <v>128</v>
      </c>
      <c r="N3" s="30">
        <v>2.4900000000000002</v>
      </c>
      <c r="O3">
        <v>2.2000000000000002</v>
      </c>
      <c r="P3" s="50">
        <f t="shared" ref="P3:P56" si="1">O3/N3*100</f>
        <v>88.353413654618478</v>
      </c>
      <c r="T3" s="30">
        <v>400</v>
      </c>
      <c r="U3" s="30">
        <v>40</v>
      </c>
      <c r="V3" s="30" t="s">
        <v>0</v>
      </c>
      <c r="W3" s="30" t="s">
        <v>310</v>
      </c>
      <c r="X3" s="30">
        <v>73.790000000000006</v>
      </c>
      <c r="Y3" s="50">
        <v>67.819999999999993</v>
      </c>
      <c r="Z3" s="50">
        <f>Y3/X3*100</f>
        <v>91.909472828296501</v>
      </c>
      <c r="AB3" s="30">
        <v>400</v>
      </c>
      <c r="AC3" s="30">
        <v>40</v>
      </c>
      <c r="AD3" s="30" t="s">
        <v>0</v>
      </c>
      <c r="AE3" s="30" t="s">
        <v>360</v>
      </c>
      <c r="AF3" s="30">
        <v>72.83</v>
      </c>
      <c r="AG3">
        <v>69.53</v>
      </c>
      <c r="AH3" s="50">
        <f>AG3/AF3*100</f>
        <v>95.468900178497876</v>
      </c>
      <c r="AJ3" s="30">
        <v>400</v>
      </c>
      <c r="AK3" s="30">
        <v>40</v>
      </c>
      <c r="AL3" s="30" t="s">
        <v>0</v>
      </c>
      <c r="AM3" s="30" t="s">
        <v>183</v>
      </c>
      <c r="AN3" s="30">
        <v>29.05</v>
      </c>
      <c r="AO3">
        <v>24.84</v>
      </c>
      <c r="AP3">
        <f>AO3/AN3*100</f>
        <v>85.507745266781413</v>
      </c>
      <c r="AR3" s="30">
        <v>400</v>
      </c>
      <c r="AS3" s="30">
        <v>40</v>
      </c>
      <c r="AT3" s="30" t="s">
        <v>0</v>
      </c>
      <c r="AU3" s="30" t="s">
        <v>231</v>
      </c>
      <c r="AV3" s="30">
        <v>33.61</v>
      </c>
      <c r="AW3">
        <v>28.38</v>
      </c>
      <c r="AX3" s="1">
        <f>AW3/AV3*100</f>
        <v>84.43915501338887</v>
      </c>
    </row>
    <row r="4" spans="1:50">
      <c r="A4" s="30">
        <v>80</v>
      </c>
      <c r="B4" s="30">
        <v>40</v>
      </c>
      <c r="C4" s="30" t="s">
        <v>0</v>
      </c>
      <c r="D4" s="30" t="s">
        <v>74</v>
      </c>
      <c r="E4" s="30">
        <v>4.4000000000000004</v>
      </c>
      <c r="F4">
        <v>3.91</v>
      </c>
      <c r="G4">
        <f t="shared" si="0"/>
        <v>88.86363636363636</v>
      </c>
      <c r="H4"/>
      <c r="J4" s="30">
        <v>80</v>
      </c>
      <c r="K4" s="30">
        <v>40</v>
      </c>
      <c r="L4" s="30" t="s">
        <v>0</v>
      </c>
      <c r="M4" s="30" t="s">
        <v>129</v>
      </c>
      <c r="N4" s="30">
        <v>4.88</v>
      </c>
      <c r="O4">
        <v>4.4000000000000004</v>
      </c>
      <c r="P4" s="50">
        <f t="shared" si="1"/>
        <v>90.163934426229517</v>
      </c>
      <c r="T4" s="30">
        <v>400</v>
      </c>
      <c r="U4" s="30">
        <v>80</v>
      </c>
      <c r="V4" s="30" t="s">
        <v>1</v>
      </c>
      <c r="W4" s="30" t="s">
        <v>311</v>
      </c>
      <c r="X4" s="30">
        <v>83.44</v>
      </c>
      <c r="Y4" s="50">
        <v>73.44</v>
      </c>
      <c r="Z4" s="50">
        <f t="shared" ref="Z4:Z50" si="2">Y4/X4*100</f>
        <v>88.015340364333653</v>
      </c>
      <c r="AB4" s="30">
        <v>400</v>
      </c>
      <c r="AC4" s="30">
        <v>80</v>
      </c>
      <c r="AD4" s="30" t="s">
        <v>1</v>
      </c>
      <c r="AE4" s="30" t="s">
        <v>361</v>
      </c>
      <c r="AF4" s="30">
        <v>84.11</v>
      </c>
      <c r="AG4">
        <v>73.900000000000006</v>
      </c>
      <c r="AH4" s="50">
        <f t="shared" ref="AH4:AH50" si="3">AG4/AF4*100</f>
        <v>87.861134228985861</v>
      </c>
      <c r="AJ4" s="30">
        <v>400</v>
      </c>
      <c r="AK4" s="30">
        <v>80</v>
      </c>
      <c r="AL4" s="30" t="s">
        <v>1</v>
      </c>
      <c r="AM4" s="30" t="s">
        <v>184</v>
      </c>
      <c r="AN4" s="30">
        <v>29.29</v>
      </c>
      <c r="AO4">
        <v>25.75</v>
      </c>
      <c r="AP4">
        <f t="shared" ref="AP4:AP50" si="4">AO4/AN4*100</f>
        <v>87.913963810174124</v>
      </c>
      <c r="AR4" s="30">
        <v>400</v>
      </c>
      <c r="AS4" s="30">
        <v>80</v>
      </c>
      <c r="AT4" s="30" t="s">
        <v>1</v>
      </c>
      <c r="AU4" s="30" t="s">
        <v>232</v>
      </c>
      <c r="AV4" s="30">
        <v>33.67</v>
      </c>
      <c r="AW4">
        <v>29.66</v>
      </c>
      <c r="AX4" s="50">
        <f t="shared" ref="AX4:AX50" si="5">AW4/AV4*100</f>
        <v>88.090288090288084</v>
      </c>
    </row>
    <row r="5" spans="1:50">
      <c r="A5" s="30">
        <v>80</v>
      </c>
      <c r="B5" s="30">
        <v>80</v>
      </c>
      <c r="C5" s="30" t="s">
        <v>1</v>
      </c>
      <c r="D5" s="30" t="s">
        <v>75</v>
      </c>
      <c r="E5" s="30">
        <v>4.42</v>
      </c>
      <c r="F5">
        <v>4.0199999999999996</v>
      </c>
      <c r="G5">
        <f t="shared" si="0"/>
        <v>90.950226244343881</v>
      </c>
      <c r="H5"/>
      <c r="J5" s="30">
        <v>80</v>
      </c>
      <c r="K5" s="30">
        <v>80</v>
      </c>
      <c r="L5" s="30" t="s">
        <v>1</v>
      </c>
      <c r="M5" s="30" t="s">
        <v>130</v>
      </c>
      <c r="N5" s="30">
        <v>4.9800000000000004</v>
      </c>
      <c r="O5">
        <v>4.4000000000000004</v>
      </c>
      <c r="P5" s="50">
        <f t="shared" si="1"/>
        <v>88.353413654618478</v>
      </c>
      <c r="T5" s="30">
        <v>400</v>
      </c>
      <c r="U5" s="30" t="s">
        <v>5</v>
      </c>
      <c r="V5" s="30" t="s">
        <v>6</v>
      </c>
      <c r="W5" s="30" t="s">
        <v>312</v>
      </c>
      <c r="X5" s="30">
        <v>84.05</v>
      </c>
      <c r="Y5" s="50">
        <v>67.8</v>
      </c>
      <c r="Z5" s="50">
        <f t="shared" si="2"/>
        <v>80.666270077334929</v>
      </c>
      <c r="AB5" s="30">
        <v>400</v>
      </c>
      <c r="AC5" s="30" t="s">
        <v>5</v>
      </c>
      <c r="AD5" s="30" t="s">
        <v>6</v>
      </c>
      <c r="AE5" s="30" t="s">
        <v>362</v>
      </c>
      <c r="AF5" s="30">
        <v>85.01</v>
      </c>
      <c r="AG5">
        <v>70.31</v>
      </c>
      <c r="AH5" s="50">
        <f t="shared" si="3"/>
        <v>82.707916715680511</v>
      </c>
      <c r="AJ5" s="30">
        <v>400</v>
      </c>
      <c r="AK5" s="30" t="s">
        <v>5</v>
      </c>
      <c r="AL5" s="30" t="s">
        <v>6</v>
      </c>
      <c r="AM5" s="30" t="s">
        <v>185</v>
      </c>
      <c r="AN5" s="30">
        <v>29.06</v>
      </c>
      <c r="AO5">
        <v>25</v>
      </c>
      <c r="AP5">
        <f t="shared" si="4"/>
        <v>86.028905712319343</v>
      </c>
      <c r="AR5" s="30">
        <v>400</v>
      </c>
      <c r="AS5" s="30" t="s">
        <v>5</v>
      </c>
      <c r="AT5" s="30" t="s">
        <v>6</v>
      </c>
      <c r="AU5" s="30" t="s">
        <v>233</v>
      </c>
      <c r="AV5" s="30">
        <v>33.1</v>
      </c>
      <c r="AW5">
        <v>28.11</v>
      </c>
      <c r="AX5" s="50">
        <f t="shared" si="5"/>
        <v>84.924471299093653</v>
      </c>
    </row>
    <row r="6" spans="1:50">
      <c r="A6" s="30">
        <v>100</v>
      </c>
      <c r="B6" s="30">
        <v>40</v>
      </c>
      <c r="C6" s="30" t="s">
        <v>0</v>
      </c>
      <c r="D6" s="30" t="s">
        <v>76</v>
      </c>
      <c r="E6" s="30">
        <v>8.5500000000000007</v>
      </c>
      <c r="F6">
        <v>7.83</v>
      </c>
      <c r="G6">
        <f t="shared" si="0"/>
        <v>91.578947368421055</v>
      </c>
      <c r="H6"/>
      <c r="J6" s="30">
        <v>100</v>
      </c>
      <c r="K6" s="30">
        <v>40</v>
      </c>
      <c r="L6" s="30" t="s">
        <v>0</v>
      </c>
      <c r="M6" s="30" t="s">
        <v>131</v>
      </c>
      <c r="N6" s="30">
        <v>9.51</v>
      </c>
      <c r="O6">
        <v>8.59</v>
      </c>
      <c r="P6" s="50">
        <f t="shared" si="1"/>
        <v>90.325972660357522</v>
      </c>
      <c r="T6" s="30">
        <v>400</v>
      </c>
      <c r="U6" s="30">
        <v>100</v>
      </c>
      <c r="V6" s="30" t="s">
        <v>2</v>
      </c>
      <c r="W6" s="30" t="s">
        <v>313</v>
      </c>
      <c r="X6" s="30">
        <v>84.29</v>
      </c>
      <c r="Y6" s="50">
        <v>68.13</v>
      </c>
      <c r="Z6" s="50">
        <f t="shared" si="2"/>
        <v>80.828093486771849</v>
      </c>
      <c r="AB6" s="30">
        <v>400</v>
      </c>
      <c r="AC6" s="30">
        <v>100</v>
      </c>
      <c r="AD6" s="30" t="s">
        <v>2</v>
      </c>
      <c r="AE6" s="30" t="s">
        <v>363</v>
      </c>
      <c r="AF6" s="30">
        <v>85.14</v>
      </c>
      <c r="AG6">
        <v>68.55</v>
      </c>
      <c r="AH6" s="50">
        <f t="shared" si="3"/>
        <v>80.514446793516555</v>
      </c>
      <c r="AJ6" s="30">
        <v>400</v>
      </c>
      <c r="AK6" s="30">
        <v>100</v>
      </c>
      <c r="AL6" s="30" t="s">
        <v>2</v>
      </c>
      <c r="AM6" s="30" t="s">
        <v>186</v>
      </c>
      <c r="AN6" s="30">
        <v>29.02</v>
      </c>
      <c r="AO6">
        <v>25.08</v>
      </c>
      <c r="AP6">
        <f t="shared" si="4"/>
        <v>86.423156443831843</v>
      </c>
      <c r="AR6" s="30">
        <v>400</v>
      </c>
      <c r="AS6" s="30">
        <v>100</v>
      </c>
      <c r="AT6" s="30" t="s">
        <v>2</v>
      </c>
      <c r="AU6" s="30" t="s">
        <v>234</v>
      </c>
      <c r="AV6" s="30">
        <v>33.049999999999997</v>
      </c>
      <c r="AW6">
        <v>27.91</v>
      </c>
      <c r="AX6" s="50">
        <f t="shared" si="5"/>
        <v>84.447806354009074</v>
      </c>
    </row>
    <row r="7" spans="1:50">
      <c r="A7" s="30">
        <v>100</v>
      </c>
      <c r="B7" s="30">
        <v>80</v>
      </c>
      <c r="C7" s="30" t="s">
        <v>1</v>
      </c>
      <c r="D7" s="30" t="s">
        <v>77</v>
      </c>
      <c r="E7" s="30">
        <v>8.68</v>
      </c>
      <c r="F7">
        <v>7.83</v>
      </c>
      <c r="G7">
        <f t="shared" si="0"/>
        <v>90.207373271889395</v>
      </c>
      <c r="H7"/>
      <c r="J7" s="30">
        <v>100</v>
      </c>
      <c r="K7" s="30">
        <v>80</v>
      </c>
      <c r="L7" s="30" t="s">
        <v>1</v>
      </c>
      <c r="M7" s="30" t="s">
        <v>132</v>
      </c>
      <c r="N7" s="30">
        <v>9.84</v>
      </c>
      <c r="O7">
        <v>8.8000000000000007</v>
      </c>
      <c r="P7" s="50">
        <f t="shared" si="1"/>
        <v>89.430894308943095</v>
      </c>
      <c r="T7" s="30">
        <v>400</v>
      </c>
      <c r="U7" s="30">
        <v>140</v>
      </c>
      <c r="V7" s="30" t="s">
        <v>7</v>
      </c>
      <c r="W7" s="30" t="s">
        <v>314</v>
      </c>
      <c r="X7" s="30">
        <v>84.09</v>
      </c>
      <c r="Y7" s="50">
        <v>62.61</v>
      </c>
      <c r="Z7" s="50">
        <f t="shared" si="2"/>
        <v>74.455940064216904</v>
      </c>
      <c r="AB7" s="30">
        <v>400</v>
      </c>
      <c r="AC7" s="30">
        <v>140</v>
      </c>
      <c r="AD7" s="30" t="s">
        <v>7</v>
      </c>
      <c r="AE7" s="30" t="s">
        <v>364</v>
      </c>
      <c r="AF7" s="30">
        <v>85.47</v>
      </c>
      <c r="AG7">
        <v>60.63</v>
      </c>
      <c r="AH7" s="50">
        <f t="shared" si="3"/>
        <v>70.937170937170947</v>
      </c>
      <c r="AJ7" s="30">
        <v>400</v>
      </c>
      <c r="AK7" s="30">
        <v>140</v>
      </c>
      <c r="AL7" s="30" t="s">
        <v>7</v>
      </c>
      <c r="AM7" s="30" t="s">
        <v>187</v>
      </c>
      <c r="AN7" s="30">
        <v>28.85</v>
      </c>
      <c r="AO7">
        <v>24.91</v>
      </c>
      <c r="AP7">
        <f t="shared" si="4"/>
        <v>86.343154246100511</v>
      </c>
      <c r="AR7" s="30">
        <v>400</v>
      </c>
      <c r="AS7" s="30">
        <v>140</v>
      </c>
      <c r="AT7" s="30" t="s">
        <v>7</v>
      </c>
      <c r="AU7" s="30" t="s">
        <v>235</v>
      </c>
      <c r="AV7" s="30">
        <v>32.67</v>
      </c>
      <c r="AW7">
        <v>27.51</v>
      </c>
      <c r="AX7" s="50">
        <f t="shared" si="5"/>
        <v>84.205693296602391</v>
      </c>
    </row>
    <row r="8" spans="1:50">
      <c r="A8" s="30">
        <v>100</v>
      </c>
      <c r="B8" s="30">
        <v>100</v>
      </c>
      <c r="C8" s="30" t="s">
        <v>2</v>
      </c>
      <c r="D8" s="30" t="s">
        <v>78</v>
      </c>
      <c r="E8" s="30">
        <v>8.68</v>
      </c>
      <c r="F8">
        <v>7.83</v>
      </c>
      <c r="G8">
        <f t="shared" si="0"/>
        <v>90.207373271889395</v>
      </c>
      <c r="H8"/>
      <c r="J8" s="30">
        <v>100</v>
      </c>
      <c r="K8" s="30">
        <v>100</v>
      </c>
      <c r="L8" s="30" t="s">
        <v>2</v>
      </c>
      <c r="M8" s="30" t="s">
        <v>133</v>
      </c>
      <c r="N8" s="30">
        <v>9.84</v>
      </c>
      <c r="O8">
        <v>8.8000000000000007</v>
      </c>
      <c r="P8" s="50">
        <f t="shared" si="1"/>
        <v>89.430894308943095</v>
      </c>
      <c r="T8" s="30">
        <v>400</v>
      </c>
      <c r="U8" s="30">
        <v>180</v>
      </c>
      <c r="V8" s="30" t="s">
        <v>8</v>
      </c>
      <c r="W8" s="30" t="s">
        <v>315</v>
      </c>
      <c r="X8" s="30">
        <v>82.91</v>
      </c>
      <c r="Y8" s="50">
        <v>57.97</v>
      </c>
      <c r="Z8" s="50">
        <f t="shared" si="2"/>
        <v>69.919189482571468</v>
      </c>
      <c r="AB8" s="30">
        <v>400</v>
      </c>
      <c r="AC8" s="30">
        <v>180</v>
      </c>
      <c r="AD8" s="30" t="s">
        <v>8</v>
      </c>
      <c r="AE8" s="30" t="s">
        <v>365</v>
      </c>
      <c r="AF8" s="30">
        <v>84.15</v>
      </c>
      <c r="AG8">
        <v>57.38</v>
      </c>
      <c r="AH8" s="50">
        <f t="shared" si="3"/>
        <v>68.187759952465825</v>
      </c>
      <c r="AJ8" s="30">
        <v>400</v>
      </c>
      <c r="AK8" s="30">
        <v>180</v>
      </c>
      <c r="AL8" s="30" t="s">
        <v>8</v>
      </c>
      <c r="AM8" s="30" t="s">
        <v>188</v>
      </c>
      <c r="AN8" s="30">
        <v>28.64</v>
      </c>
      <c r="AO8">
        <v>24.86</v>
      </c>
      <c r="AP8">
        <f t="shared" si="4"/>
        <v>86.80167597765363</v>
      </c>
      <c r="AR8" s="30">
        <v>400</v>
      </c>
      <c r="AS8" s="30">
        <v>180</v>
      </c>
      <c r="AT8" s="30" t="s">
        <v>8</v>
      </c>
      <c r="AU8" s="30" t="s">
        <v>236</v>
      </c>
      <c r="AV8" s="30">
        <v>32.270000000000003</v>
      </c>
      <c r="AW8">
        <v>27.19</v>
      </c>
      <c r="AX8" s="50">
        <f t="shared" si="5"/>
        <v>84.257824604896186</v>
      </c>
    </row>
    <row r="9" spans="1:50">
      <c r="A9" s="30">
        <v>200</v>
      </c>
      <c r="B9" s="30">
        <v>40</v>
      </c>
      <c r="C9" s="30" t="s">
        <v>0</v>
      </c>
      <c r="D9" s="30" t="s">
        <v>79</v>
      </c>
      <c r="E9" s="30">
        <v>16.100000000000001</v>
      </c>
      <c r="F9">
        <v>13.71</v>
      </c>
      <c r="G9">
        <f t="shared" si="0"/>
        <v>85.155279503105589</v>
      </c>
      <c r="H9"/>
      <c r="J9" s="30">
        <v>200</v>
      </c>
      <c r="K9" s="30">
        <v>40</v>
      </c>
      <c r="L9" s="30" t="s">
        <v>0</v>
      </c>
      <c r="M9" s="30" t="s">
        <v>134</v>
      </c>
      <c r="N9" s="30">
        <v>17.739999999999998</v>
      </c>
      <c r="O9">
        <v>15.11</v>
      </c>
      <c r="P9" s="50">
        <f t="shared" si="1"/>
        <v>85.174746335963931</v>
      </c>
      <c r="T9" s="30">
        <v>400</v>
      </c>
      <c r="U9" s="30" t="s">
        <v>9</v>
      </c>
      <c r="V9" s="30" t="s">
        <v>10</v>
      </c>
      <c r="W9" s="30" t="s">
        <v>316</v>
      </c>
      <c r="X9" s="30">
        <v>81.47</v>
      </c>
      <c r="Y9" s="50">
        <v>57.65</v>
      </c>
      <c r="Z9" s="50">
        <f t="shared" si="2"/>
        <v>70.762243770713141</v>
      </c>
      <c r="AB9" s="30">
        <v>400</v>
      </c>
      <c r="AC9" s="30" t="s">
        <v>9</v>
      </c>
      <c r="AD9" s="30" t="s">
        <v>10</v>
      </c>
      <c r="AE9" s="30" t="s">
        <v>366</v>
      </c>
      <c r="AF9" s="30">
        <v>82.67</v>
      </c>
      <c r="AG9">
        <v>57.13</v>
      </c>
      <c r="AH9" s="50">
        <f t="shared" si="3"/>
        <v>69.106084432079356</v>
      </c>
      <c r="AJ9" s="30">
        <v>400</v>
      </c>
      <c r="AK9" s="30" t="s">
        <v>9</v>
      </c>
      <c r="AL9" s="30" t="s">
        <v>10</v>
      </c>
      <c r="AM9" s="30" t="s">
        <v>189</v>
      </c>
      <c r="AN9" s="30">
        <v>28.15</v>
      </c>
      <c r="AO9">
        <v>24.76</v>
      </c>
      <c r="AP9">
        <f t="shared" si="4"/>
        <v>87.957371225577276</v>
      </c>
      <c r="AR9" s="30">
        <v>400</v>
      </c>
      <c r="AS9" s="30" t="s">
        <v>9</v>
      </c>
      <c r="AT9" s="30" t="s">
        <v>10</v>
      </c>
      <c r="AU9" s="30" t="s">
        <v>237</v>
      </c>
      <c r="AV9" s="30">
        <v>32.119999999999997</v>
      </c>
      <c r="AW9">
        <v>27</v>
      </c>
      <c r="AX9" s="50">
        <f t="shared" si="5"/>
        <v>84.059775840597766</v>
      </c>
    </row>
    <row r="10" spans="1:50">
      <c r="A10" s="30">
        <v>200</v>
      </c>
      <c r="B10" s="30">
        <v>80</v>
      </c>
      <c r="C10" s="30" t="s">
        <v>1</v>
      </c>
      <c r="D10" s="30" t="s">
        <v>80</v>
      </c>
      <c r="E10" s="30">
        <v>16.84</v>
      </c>
      <c r="F10">
        <v>15.65</v>
      </c>
      <c r="G10">
        <f t="shared" si="0"/>
        <v>92.933491686460812</v>
      </c>
      <c r="H10"/>
      <c r="J10" s="30">
        <v>200</v>
      </c>
      <c r="K10" s="30">
        <v>80</v>
      </c>
      <c r="L10" s="30" t="s">
        <v>1</v>
      </c>
      <c r="M10" s="30" t="s">
        <v>135</v>
      </c>
      <c r="N10" s="30">
        <v>19.05</v>
      </c>
      <c r="O10">
        <v>17.18</v>
      </c>
      <c r="P10" s="50">
        <f t="shared" si="1"/>
        <v>90.183727034120736</v>
      </c>
      <c r="T10" s="30">
        <v>400</v>
      </c>
      <c r="U10" s="30">
        <v>200</v>
      </c>
      <c r="V10" s="30" t="s">
        <v>3</v>
      </c>
      <c r="W10" s="30" t="s">
        <v>317</v>
      </c>
      <c r="X10" s="30">
        <v>83.88</v>
      </c>
      <c r="Y10" s="50">
        <v>68.09</v>
      </c>
      <c r="Z10" s="50">
        <f t="shared" si="2"/>
        <v>81.175488793514546</v>
      </c>
      <c r="AB10" s="30">
        <v>400</v>
      </c>
      <c r="AC10" s="30">
        <v>200</v>
      </c>
      <c r="AD10" s="30" t="s">
        <v>3</v>
      </c>
      <c r="AE10" s="30" t="s">
        <v>367</v>
      </c>
      <c r="AF10" s="30">
        <v>85.31</v>
      </c>
      <c r="AG10">
        <v>68.319999999999993</v>
      </c>
      <c r="AH10" s="50">
        <f t="shared" si="3"/>
        <v>80.084398077599332</v>
      </c>
      <c r="AJ10" s="30">
        <v>400</v>
      </c>
      <c r="AK10" s="30">
        <v>200</v>
      </c>
      <c r="AL10" s="30" t="s">
        <v>3</v>
      </c>
      <c r="AM10" s="30" t="s">
        <v>190</v>
      </c>
      <c r="AN10" s="30">
        <v>29.07</v>
      </c>
      <c r="AO10">
        <v>25.32</v>
      </c>
      <c r="AP10">
        <f t="shared" si="4"/>
        <v>87.100103199174413</v>
      </c>
      <c r="AR10" s="30">
        <v>400</v>
      </c>
      <c r="AS10" s="30">
        <v>200</v>
      </c>
      <c r="AT10" s="30" t="s">
        <v>3</v>
      </c>
      <c r="AU10" s="30" t="s">
        <v>238</v>
      </c>
      <c r="AV10" s="30">
        <v>32.99</v>
      </c>
      <c r="AW10">
        <v>28.16</v>
      </c>
      <c r="AX10" s="50">
        <f t="shared" si="5"/>
        <v>85.359199757502267</v>
      </c>
    </row>
    <row r="11" spans="1:50">
      <c r="A11" s="30">
        <v>200</v>
      </c>
      <c r="B11" s="30">
        <v>100</v>
      </c>
      <c r="C11" s="30" t="s">
        <v>2</v>
      </c>
      <c r="D11" s="30" t="s">
        <v>81</v>
      </c>
      <c r="E11" s="30">
        <v>16.579999999999998</v>
      </c>
      <c r="F11">
        <v>14.6</v>
      </c>
      <c r="G11">
        <f t="shared" si="0"/>
        <v>88.057901085645369</v>
      </c>
      <c r="H11"/>
      <c r="J11" s="30">
        <v>200</v>
      </c>
      <c r="K11" s="30">
        <v>100</v>
      </c>
      <c r="L11" s="30" t="s">
        <v>2</v>
      </c>
      <c r="M11" s="30" t="s">
        <v>136</v>
      </c>
      <c r="N11" s="30">
        <v>18.760000000000002</v>
      </c>
      <c r="O11">
        <v>16.100000000000001</v>
      </c>
      <c r="P11" s="50">
        <f t="shared" si="1"/>
        <v>85.820895522388057</v>
      </c>
      <c r="T11" s="30">
        <v>400</v>
      </c>
      <c r="U11" s="30">
        <v>240</v>
      </c>
      <c r="V11" s="30" t="s">
        <v>11</v>
      </c>
      <c r="W11" s="30" t="s">
        <v>318</v>
      </c>
      <c r="X11" s="30">
        <v>82.99</v>
      </c>
      <c r="Y11" s="50">
        <v>66.78</v>
      </c>
      <c r="Z11" s="50">
        <f t="shared" si="2"/>
        <v>80.467526207976874</v>
      </c>
      <c r="AB11" s="30">
        <v>400</v>
      </c>
      <c r="AC11" s="30">
        <v>240</v>
      </c>
      <c r="AD11" s="30" t="s">
        <v>11</v>
      </c>
      <c r="AE11" s="30" t="s">
        <v>368</v>
      </c>
      <c r="AF11" s="30">
        <v>85.3</v>
      </c>
      <c r="AG11">
        <v>66.42</v>
      </c>
      <c r="AH11" s="50">
        <f t="shared" si="3"/>
        <v>77.866354044548657</v>
      </c>
      <c r="AJ11" s="30">
        <v>400</v>
      </c>
      <c r="AK11" s="30">
        <v>240</v>
      </c>
      <c r="AL11" s="30" t="s">
        <v>11</v>
      </c>
      <c r="AM11" s="30" t="s">
        <v>191</v>
      </c>
      <c r="AN11" s="30">
        <v>29.11</v>
      </c>
      <c r="AO11">
        <v>25.3</v>
      </c>
      <c r="AP11">
        <f t="shared" si="4"/>
        <v>86.911714187564414</v>
      </c>
      <c r="AR11" s="30">
        <v>400</v>
      </c>
      <c r="AS11" s="30">
        <v>240</v>
      </c>
      <c r="AT11" s="30" t="s">
        <v>11</v>
      </c>
      <c r="AU11" s="30" t="s">
        <v>239</v>
      </c>
      <c r="AV11" s="30">
        <v>32.85</v>
      </c>
      <c r="AW11">
        <v>27.94</v>
      </c>
      <c r="AX11" s="50">
        <f t="shared" si="5"/>
        <v>85.053272450532731</v>
      </c>
    </row>
    <row r="12" spans="1:50">
      <c r="A12" s="30">
        <v>200</v>
      </c>
      <c r="B12" s="30">
        <v>200</v>
      </c>
      <c r="C12" s="30" t="s">
        <v>3</v>
      </c>
      <c r="D12" s="30" t="s">
        <v>82</v>
      </c>
      <c r="E12" s="30">
        <v>16.829999999999998</v>
      </c>
      <c r="F12">
        <v>15.58</v>
      </c>
      <c r="G12">
        <f t="shared" si="0"/>
        <v>92.572786690433759</v>
      </c>
      <c r="H12"/>
      <c r="J12" s="30">
        <v>200</v>
      </c>
      <c r="K12" s="30">
        <v>200</v>
      </c>
      <c r="L12" s="30" t="s">
        <v>3</v>
      </c>
      <c r="M12" s="30" t="s">
        <v>137</v>
      </c>
      <c r="N12" s="30">
        <v>19.13</v>
      </c>
      <c r="O12">
        <v>17.600000000000001</v>
      </c>
      <c r="P12" s="50">
        <f t="shared" si="1"/>
        <v>92.002090956612662</v>
      </c>
      <c r="T12" s="30">
        <v>400</v>
      </c>
      <c r="U12" s="30">
        <v>280</v>
      </c>
      <c r="V12" s="30" t="s">
        <v>12</v>
      </c>
      <c r="W12" s="30" t="s">
        <v>319</v>
      </c>
      <c r="X12" s="30">
        <v>83.12</v>
      </c>
      <c r="Y12" s="50">
        <v>68.37</v>
      </c>
      <c r="Z12" s="50">
        <f t="shared" si="2"/>
        <v>82.254571703561112</v>
      </c>
      <c r="AB12" s="30">
        <v>400</v>
      </c>
      <c r="AC12" s="30">
        <v>280</v>
      </c>
      <c r="AD12" s="30" t="s">
        <v>12</v>
      </c>
      <c r="AE12" s="30" t="s">
        <v>369</v>
      </c>
      <c r="AF12" s="30">
        <v>84.29</v>
      </c>
      <c r="AG12">
        <v>67.55</v>
      </c>
      <c r="AH12" s="50">
        <f t="shared" si="3"/>
        <v>80.139992881717873</v>
      </c>
      <c r="AJ12" s="30">
        <v>400</v>
      </c>
      <c r="AK12" s="30">
        <v>280</v>
      </c>
      <c r="AL12" s="30" t="s">
        <v>12</v>
      </c>
      <c r="AM12" s="30" t="s">
        <v>192</v>
      </c>
      <c r="AN12" s="30">
        <v>29.03</v>
      </c>
      <c r="AO12">
        <v>25.3</v>
      </c>
      <c r="AP12">
        <f t="shared" si="4"/>
        <v>87.151222872890116</v>
      </c>
      <c r="AR12" s="30">
        <v>400</v>
      </c>
      <c r="AS12" s="30">
        <v>280</v>
      </c>
      <c r="AT12" s="30" t="s">
        <v>12</v>
      </c>
      <c r="AU12" s="30" t="s">
        <v>240</v>
      </c>
      <c r="AV12" s="30">
        <v>32.81</v>
      </c>
      <c r="AW12">
        <v>28.01</v>
      </c>
      <c r="AX12" s="50">
        <f t="shared" si="5"/>
        <v>85.370313928680275</v>
      </c>
    </row>
    <row r="13" spans="1:50">
      <c r="A13" s="30">
        <v>400</v>
      </c>
      <c r="B13" s="30">
        <v>40</v>
      </c>
      <c r="C13" s="30" t="s">
        <v>0</v>
      </c>
      <c r="D13" s="30" t="s">
        <v>83</v>
      </c>
      <c r="E13" s="30">
        <v>29.68</v>
      </c>
      <c r="F13">
        <v>25.17</v>
      </c>
      <c r="G13">
        <f t="shared" si="0"/>
        <v>84.8045822102426</v>
      </c>
      <c r="H13"/>
      <c r="J13" s="30">
        <v>400</v>
      </c>
      <c r="K13" s="30">
        <v>40</v>
      </c>
      <c r="L13" s="30" t="s">
        <v>0</v>
      </c>
      <c r="M13" s="30" t="s">
        <v>138</v>
      </c>
      <c r="N13" s="30">
        <v>32.46</v>
      </c>
      <c r="O13">
        <v>27.06</v>
      </c>
      <c r="P13" s="50">
        <f t="shared" si="1"/>
        <v>83.364140480591487</v>
      </c>
      <c r="T13" s="30">
        <v>400</v>
      </c>
      <c r="U13" s="30" t="s">
        <v>13</v>
      </c>
      <c r="V13" s="30" t="s">
        <v>14</v>
      </c>
      <c r="W13" s="30" t="s">
        <v>320</v>
      </c>
      <c r="X13" s="30">
        <v>83.48</v>
      </c>
      <c r="Y13" s="50">
        <v>68.09</v>
      </c>
      <c r="Z13" s="50">
        <f t="shared" si="2"/>
        <v>81.564446574029702</v>
      </c>
      <c r="AB13" s="30">
        <v>400</v>
      </c>
      <c r="AC13" s="30" t="s">
        <v>13</v>
      </c>
      <c r="AD13" s="30" t="s">
        <v>14</v>
      </c>
      <c r="AE13" s="30" t="s">
        <v>370</v>
      </c>
      <c r="AF13" s="30">
        <v>83.86</v>
      </c>
      <c r="AG13">
        <v>67.69</v>
      </c>
      <c r="AH13" s="50">
        <f t="shared" si="3"/>
        <v>80.717863105175297</v>
      </c>
      <c r="AJ13" s="30">
        <v>400</v>
      </c>
      <c r="AK13" s="30" t="s">
        <v>13</v>
      </c>
      <c r="AL13" s="30" t="s">
        <v>14</v>
      </c>
      <c r="AM13" s="30" t="s">
        <v>193</v>
      </c>
      <c r="AN13" s="30">
        <v>29.08</v>
      </c>
      <c r="AO13">
        <v>25.3</v>
      </c>
      <c r="AP13">
        <f t="shared" si="4"/>
        <v>87.001375515818438</v>
      </c>
      <c r="AR13" s="30">
        <v>400</v>
      </c>
      <c r="AS13" s="30" t="s">
        <v>13</v>
      </c>
      <c r="AT13" s="30" t="s">
        <v>14</v>
      </c>
      <c r="AU13" s="30" t="s">
        <v>241</v>
      </c>
      <c r="AV13" s="30">
        <v>32.979999999999997</v>
      </c>
      <c r="AW13">
        <v>28.02</v>
      </c>
      <c r="AX13" s="50">
        <f t="shared" si="5"/>
        <v>84.960582171012746</v>
      </c>
    </row>
    <row r="14" spans="1:50">
      <c r="A14" s="30">
        <v>400</v>
      </c>
      <c r="B14" s="30">
        <v>80</v>
      </c>
      <c r="C14" s="30" t="s">
        <v>1</v>
      </c>
      <c r="D14" s="30" t="s">
        <v>84</v>
      </c>
      <c r="E14" s="30">
        <v>31.42</v>
      </c>
      <c r="F14">
        <v>28.32</v>
      </c>
      <c r="G14">
        <f t="shared" si="0"/>
        <v>90.133672819859953</v>
      </c>
      <c r="H14"/>
      <c r="J14" s="30">
        <v>400</v>
      </c>
      <c r="K14" s="30">
        <v>80</v>
      </c>
      <c r="L14" s="30" t="s">
        <v>1</v>
      </c>
      <c r="M14" s="30" t="s">
        <v>139</v>
      </c>
      <c r="N14" s="30">
        <v>35.89</v>
      </c>
      <c r="O14">
        <v>31.54</v>
      </c>
      <c r="P14" s="50">
        <f t="shared" si="1"/>
        <v>87.879632209529106</v>
      </c>
      <c r="T14" s="30">
        <v>400</v>
      </c>
      <c r="U14" s="30">
        <v>300</v>
      </c>
      <c r="V14" s="30">
        <v>45980</v>
      </c>
      <c r="W14" s="30" t="s">
        <v>321</v>
      </c>
      <c r="X14" s="30">
        <v>82.33</v>
      </c>
      <c r="Y14" s="50">
        <v>68.47</v>
      </c>
      <c r="Z14" s="50">
        <f t="shared" si="2"/>
        <v>83.165310336450872</v>
      </c>
      <c r="AB14" s="30">
        <v>400</v>
      </c>
      <c r="AC14" s="30">
        <v>300</v>
      </c>
      <c r="AD14" s="30">
        <v>45980</v>
      </c>
      <c r="AE14" s="30" t="s">
        <v>371</v>
      </c>
      <c r="AF14" s="30">
        <v>84.06</v>
      </c>
      <c r="AG14">
        <v>68.430000000000007</v>
      </c>
      <c r="AH14" s="50">
        <f t="shared" si="3"/>
        <v>81.406138472519643</v>
      </c>
      <c r="AJ14" s="30">
        <v>400</v>
      </c>
      <c r="AK14" s="30">
        <v>300</v>
      </c>
      <c r="AL14" s="30">
        <v>45980</v>
      </c>
      <c r="AM14" s="30" t="s">
        <v>194</v>
      </c>
      <c r="AN14" s="30">
        <v>29.03</v>
      </c>
      <c r="AO14">
        <v>25.33</v>
      </c>
      <c r="AP14">
        <f t="shared" si="4"/>
        <v>87.254564243885625</v>
      </c>
      <c r="AR14" s="30">
        <v>400</v>
      </c>
      <c r="AS14" s="30">
        <v>300</v>
      </c>
      <c r="AT14" s="30">
        <v>45980</v>
      </c>
      <c r="AU14" s="30" t="s">
        <v>242</v>
      </c>
      <c r="AV14" s="30">
        <v>32.97</v>
      </c>
      <c r="AW14">
        <v>28.1</v>
      </c>
      <c r="AX14" s="50">
        <f t="shared" si="5"/>
        <v>85.228996057021547</v>
      </c>
    </row>
    <row r="15" spans="1:50">
      <c r="A15" s="30">
        <v>400</v>
      </c>
      <c r="B15" s="30">
        <v>100</v>
      </c>
      <c r="C15" s="30" t="s">
        <v>2</v>
      </c>
      <c r="D15" s="30" t="s">
        <v>85</v>
      </c>
      <c r="E15" s="30">
        <v>30.97</v>
      </c>
      <c r="F15">
        <v>26.86</v>
      </c>
      <c r="G15">
        <f t="shared" si="0"/>
        <v>86.729092670326125</v>
      </c>
      <c r="H15"/>
      <c r="J15" s="30">
        <v>400</v>
      </c>
      <c r="K15" s="30">
        <v>100</v>
      </c>
      <c r="L15" s="30" t="s">
        <v>2</v>
      </c>
      <c r="M15" s="30" t="s">
        <v>140</v>
      </c>
      <c r="N15" s="30">
        <v>35.58</v>
      </c>
      <c r="O15">
        <v>30.17</v>
      </c>
      <c r="P15" s="50">
        <f t="shared" si="1"/>
        <v>84.794828555368198</v>
      </c>
      <c r="T15" s="30">
        <v>400</v>
      </c>
      <c r="U15" s="30">
        <v>340</v>
      </c>
      <c r="V15" s="30">
        <v>45940</v>
      </c>
      <c r="W15" s="30" t="s">
        <v>322</v>
      </c>
      <c r="X15" s="30">
        <v>83.14</v>
      </c>
      <c r="Y15" s="50">
        <v>68.349999999999994</v>
      </c>
      <c r="Z15" s="50">
        <f t="shared" si="2"/>
        <v>82.210728891027173</v>
      </c>
      <c r="AB15" s="30">
        <v>400</v>
      </c>
      <c r="AC15" s="30">
        <v>340</v>
      </c>
      <c r="AD15" s="30">
        <v>45940</v>
      </c>
      <c r="AE15" s="30" t="s">
        <v>372</v>
      </c>
      <c r="AF15" s="30">
        <v>84.51</v>
      </c>
      <c r="AG15">
        <v>69.08</v>
      </c>
      <c r="AH15" s="50">
        <f t="shared" si="3"/>
        <v>81.741805703467037</v>
      </c>
      <c r="AJ15" s="30">
        <v>400</v>
      </c>
      <c r="AK15" s="30">
        <v>340</v>
      </c>
      <c r="AL15" s="30">
        <v>45940</v>
      </c>
      <c r="AM15" s="30" t="s">
        <v>195</v>
      </c>
      <c r="AN15" s="30">
        <v>29.09</v>
      </c>
      <c r="AO15">
        <v>25.36</v>
      </c>
      <c r="AP15">
        <f t="shared" si="4"/>
        <v>87.177724303884503</v>
      </c>
      <c r="AR15" s="30">
        <v>400</v>
      </c>
      <c r="AS15" s="30">
        <v>340</v>
      </c>
      <c r="AT15" s="30">
        <v>45940</v>
      </c>
      <c r="AU15" s="30" t="s">
        <v>243</v>
      </c>
      <c r="AV15" s="30">
        <v>33.08</v>
      </c>
      <c r="AW15">
        <v>28.22</v>
      </c>
      <c r="AX15" s="50">
        <f t="shared" si="5"/>
        <v>85.308343409915352</v>
      </c>
    </row>
    <row r="16" spans="1:50">
      <c r="A16" s="30">
        <v>400</v>
      </c>
      <c r="B16" s="30">
        <v>200</v>
      </c>
      <c r="C16" s="30" t="s">
        <v>3</v>
      </c>
      <c r="D16" s="30" t="s">
        <v>86</v>
      </c>
      <c r="E16" s="30">
        <v>31</v>
      </c>
      <c r="F16">
        <v>27.16</v>
      </c>
      <c r="G16">
        <f t="shared" si="0"/>
        <v>87.612903225806448</v>
      </c>
      <c r="H16"/>
      <c r="J16" s="30">
        <v>400</v>
      </c>
      <c r="K16" s="30">
        <v>200</v>
      </c>
      <c r="L16" s="30" t="s">
        <v>3</v>
      </c>
      <c r="M16" s="30" t="s">
        <v>141</v>
      </c>
      <c r="N16" s="30">
        <v>35.61</v>
      </c>
      <c r="O16">
        <v>30.33</v>
      </c>
      <c r="P16" s="50">
        <f t="shared" si="1"/>
        <v>85.172704296545902</v>
      </c>
      <c r="T16" s="30">
        <v>400</v>
      </c>
      <c r="U16" s="30">
        <v>380</v>
      </c>
      <c r="V16" s="30">
        <v>45900</v>
      </c>
      <c r="W16" s="30" t="s">
        <v>323</v>
      </c>
      <c r="X16" s="30">
        <v>83.31</v>
      </c>
      <c r="Y16" s="50">
        <v>67.91</v>
      </c>
      <c r="Z16" s="50">
        <f t="shared" si="2"/>
        <v>81.514824150762209</v>
      </c>
      <c r="AB16" s="30">
        <v>400</v>
      </c>
      <c r="AC16" s="30">
        <v>380</v>
      </c>
      <c r="AD16" s="30">
        <v>45900</v>
      </c>
      <c r="AE16" s="30" t="s">
        <v>373</v>
      </c>
      <c r="AF16" s="30">
        <v>84.7</v>
      </c>
      <c r="AG16">
        <v>69.260000000000005</v>
      </c>
      <c r="AH16" s="50">
        <f t="shared" si="3"/>
        <v>81.770956316410874</v>
      </c>
      <c r="AJ16" s="30">
        <v>400</v>
      </c>
      <c r="AK16" s="30">
        <v>380</v>
      </c>
      <c r="AL16" s="30">
        <v>45900</v>
      </c>
      <c r="AM16" s="30" t="s">
        <v>196</v>
      </c>
      <c r="AN16" s="30">
        <v>29.01</v>
      </c>
      <c r="AO16">
        <v>25.36</v>
      </c>
      <c r="AP16">
        <f t="shared" si="4"/>
        <v>87.41813167873147</v>
      </c>
      <c r="AR16" s="30">
        <v>400</v>
      </c>
      <c r="AS16" s="30">
        <v>380</v>
      </c>
      <c r="AT16" s="30">
        <v>45900</v>
      </c>
      <c r="AU16" s="30" t="s">
        <v>244</v>
      </c>
      <c r="AV16" s="30">
        <v>33.119999999999997</v>
      </c>
      <c r="AW16">
        <v>28.34</v>
      </c>
      <c r="AX16" s="50">
        <f t="shared" si="5"/>
        <v>85.567632850241552</v>
      </c>
    </row>
    <row r="17" spans="1:50">
      <c r="A17" s="30">
        <v>400</v>
      </c>
      <c r="B17" s="30">
        <v>400</v>
      </c>
      <c r="C17" s="30">
        <v>45880</v>
      </c>
      <c r="D17" s="30" t="s">
        <v>87</v>
      </c>
      <c r="E17" s="30">
        <v>31.59</v>
      </c>
      <c r="F17">
        <v>29.21</v>
      </c>
      <c r="G17">
        <f t="shared" si="0"/>
        <v>92.465970243748018</v>
      </c>
      <c r="H17"/>
      <c r="J17" s="30">
        <v>400</v>
      </c>
      <c r="K17" s="30">
        <v>400</v>
      </c>
      <c r="L17" s="30">
        <v>45880</v>
      </c>
      <c r="M17" s="30" t="s">
        <v>142</v>
      </c>
      <c r="N17" s="30">
        <v>36.25</v>
      </c>
      <c r="O17">
        <v>33.25</v>
      </c>
      <c r="P17" s="50">
        <f t="shared" si="1"/>
        <v>91.724137931034477</v>
      </c>
      <c r="T17" s="30">
        <v>400</v>
      </c>
      <c r="U17" s="30" t="s">
        <v>15</v>
      </c>
      <c r="V17" s="30" t="s">
        <v>16</v>
      </c>
      <c r="W17" s="30" t="s">
        <v>324</v>
      </c>
      <c r="X17" s="30">
        <v>84.44</v>
      </c>
      <c r="Y17" s="50">
        <v>71.06</v>
      </c>
      <c r="Z17" s="50">
        <f t="shared" si="2"/>
        <v>84.154429180483191</v>
      </c>
      <c r="AB17" s="30">
        <v>400</v>
      </c>
      <c r="AC17" s="30" t="s">
        <v>15</v>
      </c>
      <c r="AD17" s="30" t="s">
        <v>16</v>
      </c>
      <c r="AE17" s="30" t="s">
        <v>374</v>
      </c>
      <c r="AF17" s="30">
        <v>85.89</v>
      </c>
      <c r="AG17">
        <v>72.180000000000007</v>
      </c>
      <c r="AH17" s="50">
        <f t="shared" si="3"/>
        <v>84.037722668529526</v>
      </c>
      <c r="AJ17" s="30">
        <v>400</v>
      </c>
      <c r="AK17" s="30" t="s">
        <v>15</v>
      </c>
      <c r="AL17" s="30" t="s">
        <v>16</v>
      </c>
      <c r="AM17" s="30" t="s">
        <v>197</v>
      </c>
      <c r="AN17" s="30">
        <v>29.25</v>
      </c>
      <c r="AO17">
        <v>25.5</v>
      </c>
      <c r="AP17">
        <f t="shared" si="4"/>
        <v>87.179487179487182</v>
      </c>
      <c r="AR17" s="30">
        <v>400</v>
      </c>
      <c r="AS17" s="30" t="s">
        <v>15</v>
      </c>
      <c r="AT17" s="30" t="s">
        <v>16</v>
      </c>
      <c r="AU17" s="30" t="s">
        <v>245</v>
      </c>
      <c r="AV17" s="30">
        <v>33.39</v>
      </c>
      <c r="AW17">
        <v>28.79</v>
      </c>
      <c r="AX17" s="50">
        <f t="shared" si="5"/>
        <v>86.223420185684333</v>
      </c>
    </row>
    <row r="18" spans="1:50">
      <c r="A18" s="30">
        <v>800</v>
      </c>
      <c r="B18" s="30">
        <v>40</v>
      </c>
      <c r="C18" s="30" t="s">
        <v>0</v>
      </c>
      <c r="D18" s="30" t="s">
        <v>88</v>
      </c>
      <c r="E18" s="30">
        <v>51.54</v>
      </c>
      <c r="F18">
        <v>42.65</v>
      </c>
      <c r="G18">
        <f t="shared" si="0"/>
        <v>82.751261156383393</v>
      </c>
      <c r="H18"/>
      <c r="J18" s="30">
        <v>800</v>
      </c>
      <c r="K18" s="30">
        <v>40</v>
      </c>
      <c r="L18" s="30" t="s">
        <v>0</v>
      </c>
      <c r="M18" s="30" t="s">
        <v>143</v>
      </c>
      <c r="N18" s="30">
        <v>54.69</v>
      </c>
      <c r="O18">
        <v>44.95</v>
      </c>
      <c r="P18" s="50">
        <f t="shared" si="1"/>
        <v>82.190528432985928</v>
      </c>
      <c r="T18" s="30">
        <v>400</v>
      </c>
      <c r="U18" s="30">
        <v>400</v>
      </c>
      <c r="V18" s="30">
        <v>45880</v>
      </c>
      <c r="W18" s="30" t="s">
        <v>325</v>
      </c>
      <c r="X18" s="30">
        <v>85.41</v>
      </c>
      <c r="Y18" s="50">
        <v>74.45</v>
      </c>
      <c r="Z18" s="50">
        <f t="shared" si="2"/>
        <v>87.167778948600869</v>
      </c>
      <c r="AB18" s="30">
        <v>400</v>
      </c>
      <c r="AC18" s="30">
        <v>400</v>
      </c>
      <c r="AD18" s="30">
        <v>45880</v>
      </c>
      <c r="AE18" s="30" t="s">
        <v>375</v>
      </c>
      <c r="AF18" s="30">
        <v>86.34</v>
      </c>
      <c r="AG18">
        <v>75.64</v>
      </c>
      <c r="AH18" s="50">
        <f t="shared" si="3"/>
        <v>87.607134584201987</v>
      </c>
      <c r="AJ18" s="30">
        <v>400</v>
      </c>
      <c r="AK18" s="30">
        <v>400</v>
      </c>
      <c r="AL18" s="30">
        <v>45880</v>
      </c>
      <c r="AM18" s="30" t="s">
        <v>198</v>
      </c>
      <c r="AN18" s="30">
        <v>29.36</v>
      </c>
      <c r="AO18">
        <v>25.91</v>
      </c>
      <c r="AP18">
        <f t="shared" si="4"/>
        <v>88.249318801089913</v>
      </c>
      <c r="AR18" s="30">
        <v>400</v>
      </c>
      <c r="AS18" s="30">
        <v>400</v>
      </c>
      <c r="AT18" s="30">
        <v>45880</v>
      </c>
      <c r="AU18" s="30" t="s">
        <v>246</v>
      </c>
      <c r="AV18" s="30">
        <v>33.86</v>
      </c>
      <c r="AW18">
        <v>31.31</v>
      </c>
      <c r="AX18" s="50">
        <f t="shared" si="5"/>
        <v>92.468989958653282</v>
      </c>
    </row>
    <row r="19" spans="1:50">
      <c r="A19" s="30">
        <v>800</v>
      </c>
      <c r="B19" s="30">
        <v>80</v>
      </c>
      <c r="C19" s="30" t="s">
        <v>1</v>
      </c>
      <c r="D19" s="30" t="s">
        <v>89</v>
      </c>
      <c r="E19" s="30">
        <v>55.47</v>
      </c>
      <c r="F19">
        <v>48.38</v>
      </c>
      <c r="G19">
        <f t="shared" si="0"/>
        <v>87.218316206958718</v>
      </c>
      <c r="H19"/>
      <c r="J19" s="30">
        <v>800</v>
      </c>
      <c r="K19" s="30">
        <v>80</v>
      </c>
      <c r="L19" s="30" t="s">
        <v>1</v>
      </c>
      <c r="M19" s="30" t="s">
        <v>144</v>
      </c>
      <c r="N19" s="30">
        <v>65.14</v>
      </c>
      <c r="O19">
        <v>54.32</v>
      </c>
      <c r="P19" s="50">
        <f t="shared" si="1"/>
        <v>83.38962235185754</v>
      </c>
      <c r="T19" s="30">
        <v>800</v>
      </c>
      <c r="U19" s="30">
        <v>40</v>
      </c>
      <c r="V19" s="30" t="s">
        <v>0</v>
      </c>
      <c r="W19" s="30" t="s">
        <v>326</v>
      </c>
      <c r="X19" s="30">
        <v>114.64</v>
      </c>
      <c r="Y19" s="50">
        <v>101.57</v>
      </c>
      <c r="Z19" s="50">
        <f t="shared" si="2"/>
        <v>88.599092812281924</v>
      </c>
      <c r="AB19" s="30">
        <v>800</v>
      </c>
      <c r="AC19" s="30">
        <v>40</v>
      </c>
      <c r="AD19" s="30" t="s">
        <v>0</v>
      </c>
      <c r="AE19" s="30" t="s">
        <v>376</v>
      </c>
      <c r="AF19" s="30">
        <v>107.99</v>
      </c>
      <c r="AG19">
        <v>101.57</v>
      </c>
      <c r="AH19" s="50">
        <f t="shared" si="3"/>
        <v>94.055005093064167</v>
      </c>
      <c r="AJ19" s="30">
        <v>800</v>
      </c>
      <c r="AK19" s="30">
        <v>40</v>
      </c>
      <c r="AL19" s="30" t="s">
        <v>0</v>
      </c>
      <c r="AM19" s="30" t="s">
        <v>199</v>
      </c>
      <c r="AN19" s="30">
        <v>47.9</v>
      </c>
      <c r="AO19">
        <v>40.92</v>
      </c>
      <c r="AP19">
        <f t="shared" si="4"/>
        <v>85.42797494780794</v>
      </c>
      <c r="AR19" s="30">
        <v>800</v>
      </c>
      <c r="AS19" s="30">
        <v>40</v>
      </c>
      <c r="AT19" s="30" t="s">
        <v>0</v>
      </c>
      <c r="AU19" s="30" t="s">
        <v>247</v>
      </c>
      <c r="AV19" s="30">
        <v>56.68</v>
      </c>
      <c r="AW19">
        <v>46.77</v>
      </c>
      <c r="AX19" s="50">
        <f t="shared" si="5"/>
        <v>82.515878616796059</v>
      </c>
    </row>
    <row r="20" spans="1:50">
      <c r="A20" s="30">
        <v>800</v>
      </c>
      <c r="B20" s="30">
        <v>100</v>
      </c>
      <c r="C20" s="30" t="s">
        <v>2</v>
      </c>
      <c r="D20" s="30" t="s">
        <v>90</v>
      </c>
      <c r="E20" s="30">
        <v>54.87</v>
      </c>
      <c r="F20">
        <v>47.31</v>
      </c>
      <c r="G20">
        <f t="shared" si="0"/>
        <v>86.221979223619471</v>
      </c>
      <c r="H20"/>
      <c r="J20" s="30">
        <v>800</v>
      </c>
      <c r="K20" s="30">
        <v>100</v>
      </c>
      <c r="L20" s="30" t="s">
        <v>2</v>
      </c>
      <c r="M20" s="30" t="s">
        <v>145</v>
      </c>
      <c r="N20" s="30">
        <v>64.52</v>
      </c>
      <c r="O20">
        <v>53.52</v>
      </c>
      <c r="P20" s="50">
        <f t="shared" si="1"/>
        <v>82.951022938623694</v>
      </c>
      <c r="T20" s="30">
        <v>800</v>
      </c>
      <c r="U20" s="30">
        <v>80</v>
      </c>
      <c r="V20" s="30" t="s">
        <v>1</v>
      </c>
      <c r="W20" s="30" t="s">
        <v>327</v>
      </c>
      <c r="X20" s="30">
        <v>112.9</v>
      </c>
      <c r="Y20" s="50">
        <v>110.74</v>
      </c>
      <c r="Z20" s="50">
        <f t="shared" si="2"/>
        <v>98.086802480070844</v>
      </c>
      <c r="AB20" s="30">
        <v>800</v>
      </c>
      <c r="AC20" s="30">
        <v>80</v>
      </c>
      <c r="AD20" s="30" t="s">
        <v>1</v>
      </c>
      <c r="AE20" s="30" t="s">
        <v>377</v>
      </c>
      <c r="AF20" s="30">
        <v>110.96</v>
      </c>
      <c r="AG20">
        <v>109.92</v>
      </c>
      <c r="AH20" s="50">
        <f t="shared" si="3"/>
        <v>99.062725306416738</v>
      </c>
      <c r="AJ20" s="30">
        <v>800</v>
      </c>
      <c r="AK20" s="30">
        <v>80</v>
      </c>
      <c r="AL20" s="30" t="s">
        <v>1</v>
      </c>
      <c r="AM20" s="30" t="s">
        <v>200</v>
      </c>
      <c r="AN20" s="30">
        <v>48.1</v>
      </c>
      <c r="AO20">
        <v>42.11</v>
      </c>
      <c r="AP20">
        <f t="shared" si="4"/>
        <v>87.546777546777548</v>
      </c>
      <c r="AR20" s="30">
        <v>800</v>
      </c>
      <c r="AS20" s="30">
        <v>80</v>
      </c>
      <c r="AT20" s="30" t="s">
        <v>1</v>
      </c>
      <c r="AU20" s="30" t="s">
        <v>248</v>
      </c>
      <c r="AV20" s="30">
        <v>56.19</v>
      </c>
      <c r="AW20">
        <v>47.79</v>
      </c>
      <c r="AX20" s="50">
        <f t="shared" si="5"/>
        <v>85.050720768820071</v>
      </c>
    </row>
    <row r="21" spans="1:50">
      <c r="A21" s="30">
        <v>800</v>
      </c>
      <c r="B21" s="30">
        <v>200</v>
      </c>
      <c r="C21" s="30" t="s">
        <v>3</v>
      </c>
      <c r="D21" s="30" t="s">
        <v>91</v>
      </c>
      <c r="E21" s="30">
        <v>55.02</v>
      </c>
      <c r="F21">
        <v>47.95</v>
      </c>
      <c r="G21">
        <f t="shared" si="0"/>
        <v>87.150127226463098</v>
      </c>
      <c r="H21"/>
      <c r="J21" s="30">
        <v>800</v>
      </c>
      <c r="K21" s="30">
        <v>200</v>
      </c>
      <c r="L21" s="30" t="s">
        <v>3</v>
      </c>
      <c r="M21" s="30" t="s">
        <v>146</v>
      </c>
      <c r="N21" s="30">
        <v>64.39</v>
      </c>
      <c r="O21">
        <v>53.65</v>
      </c>
      <c r="P21" s="50">
        <f t="shared" si="1"/>
        <v>83.320391365118809</v>
      </c>
      <c r="T21" s="30">
        <v>800</v>
      </c>
      <c r="U21" s="30" t="s">
        <v>5</v>
      </c>
      <c r="V21" s="30" t="s">
        <v>6</v>
      </c>
      <c r="W21" s="30" t="s">
        <v>328</v>
      </c>
      <c r="X21" s="30">
        <v>125.16</v>
      </c>
      <c r="Y21" s="50">
        <v>97.99</v>
      </c>
      <c r="Z21" s="50">
        <f t="shared" si="2"/>
        <v>78.29178651326302</v>
      </c>
      <c r="AB21" s="30">
        <v>800</v>
      </c>
      <c r="AC21" s="30" t="s">
        <v>5</v>
      </c>
      <c r="AD21" s="30" t="s">
        <v>6</v>
      </c>
      <c r="AE21" s="30" t="s">
        <v>378</v>
      </c>
      <c r="AF21" s="30">
        <v>126.1</v>
      </c>
      <c r="AG21">
        <v>97.98</v>
      </c>
      <c r="AH21" s="50">
        <f t="shared" si="3"/>
        <v>77.700237906423482</v>
      </c>
      <c r="AJ21" s="30">
        <v>800</v>
      </c>
      <c r="AK21" s="30" t="s">
        <v>5</v>
      </c>
      <c r="AL21" s="30" t="s">
        <v>6</v>
      </c>
      <c r="AM21" s="30" t="s">
        <v>201</v>
      </c>
      <c r="AN21" s="30">
        <v>47.63</v>
      </c>
      <c r="AO21">
        <v>40.71</v>
      </c>
      <c r="AP21">
        <f t="shared" si="4"/>
        <v>85.471341591433969</v>
      </c>
      <c r="AR21" s="30">
        <v>800</v>
      </c>
      <c r="AS21" s="30" t="s">
        <v>5</v>
      </c>
      <c r="AT21" s="30" t="s">
        <v>6</v>
      </c>
      <c r="AU21" s="30" t="s">
        <v>249</v>
      </c>
      <c r="AV21" s="30">
        <v>55.46</v>
      </c>
      <c r="AW21">
        <v>46.39</v>
      </c>
      <c r="AX21" s="50">
        <f t="shared" si="5"/>
        <v>83.645870897944462</v>
      </c>
    </row>
    <row r="22" spans="1:50">
      <c r="A22" s="30">
        <v>800</v>
      </c>
      <c r="B22" s="30">
        <v>400</v>
      </c>
      <c r="C22" s="30">
        <v>45880</v>
      </c>
      <c r="D22" s="30" t="s">
        <v>92</v>
      </c>
      <c r="E22" s="30">
        <v>55.05</v>
      </c>
      <c r="F22">
        <v>47.95</v>
      </c>
      <c r="G22">
        <f t="shared" si="0"/>
        <v>87.102633969118997</v>
      </c>
      <c r="H22"/>
      <c r="J22" s="30">
        <v>800</v>
      </c>
      <c r="K22" s="30">
        <v>400</v>
      </c>
      <c r="L22" s="30">
        <v>45880</v>
      </c>
      <c r="M22" s="30" t="s">
        <v>147</v>
      </c>
      <c r="N22" s="30">
        <v>65</v>
      </c>
      <c r="O22">
        <v>54.43</v>
      </c>
      <c r="P22" s="50">
        <f t="shared" si="1"/>
        <v>83.738461538461536</v>
      </c>
      <c r="T22" s="30">
        <v>800</v>
      </c>
      <c r="U22" s="30">
        <v>100</v>
      </c>
      <c r="V22" s="30" t="s">
        <v>2</v>
      </c>
      <c r="W22" s="30" t="s">
        <v>329</v>
      </c>
      <c r="X22" s="30">
        <v>124.08</v>
      </c>
      <c r="Y22" s="50">
        <v>93.03</v>
      </c>
      <c r="Z22" s="50">
        <f t="shared" si="2"/>
        <v>74.975822050290148</v>
      </c>
      <c r="AB22" s="30">
        <v>800</v>
      </c>
      <c r="AC22" s="30">
        <v>100</v>
      </c>
      <c r="AD22" s="30" t="s">
        <v>2</v>
      </c>
      <c r="AE22" s="30" t="s">
        <v>379</v>
      </c>
      <c r="AF22" s="30">
        <v>122.79</v>
      </c>
      <c r="AG22">
        <v>94.47</v>
      </c>
      <c r="AH22" s="50">
        <f t="shared" si="3"/>
        <v>76.936232592230638</v>
      </c>
      <c r="AJ22" s="30">
        <v>800</v>
      </c>
      <c r="AK22" s="30">
        <v>100</v>
      </c>
      <c r="AL22" s="30" t="s">
        <v>2</v>
      </c>
      <c r="AM22" s="30" t="s">
        <v>202</v>
      </c>
      <c r="AN22" s="30">
        <v>47.56</v>
      </c>
      <c r="AO22">
        <v>40.869999999999997</v>
      </c>
      <c r="AP22">
        <f t="shared" si="4"/>
        <v>85.933557611438175</v>
      </c>
      <c r="AR22" s="30">
        <v>800</v>
      </c>
      <c r="AS22" s="30">
        <v>100</v>
      </c>
      <c r="AT22" s="30" t="s">
        <v>2</v>
      </c>
      <c r="AU22" s="30" t="s">
        <v>250</v>
      </c>
      <c r="AV22" s="30">
        <v>55.43</v>
      </c>
      <c r="AW22">
        <v>46.38</v>
      </c>
      <c r="AX22" s="50">
        <f t="shared" si="5"/>
        <v>83.673101208731737</v>
      </c>
    </row>
    <row r="23" spans="1:50">
      <c r="A23" s="30">
        <v>800</v>
      </c>
      <c r="B23" s="30">
        <v>800</v>
      </c>
      <c r="C23" s="30">
        <v>45480</v>
      </c>
      <c r="D23" s="30" t="s">
        <v>93</v>
      </c>
      <c r="E23" s="30">
        <v>55.95</v>
      </c>
      <c r="F23">
        <v>49.19</v>
      </c>
      <c r="G23">
        <f t="shared" si="0"/>
        <v>87.917783735478096</v>
      </c>
      <c r="H23"/>
      <c r="J23" s="30">
        <v>800</v>
      </c>
      <c r="K23" s="30">
        <v>800</v>
      </c>
      <c r="L23" s="30">
        <v>45480</v>
      </c>
      <c r="M23" s="30" t="s">
        <v>148</v>
      </c>
      <c r="N23" s="30">
        <v>65.45</v>
      </c>
      <c r="O23">
        <v>55.93</v>
      </c>
      <c r="P23" s="50">
        <f t="shared" si="1"/>
        <v>85.454545454545453</v>
      </c>
      <c r="T23" s="30">
        <v>800</v>
      </c>
      <c r="U23" s="30">
        <v>140</v>
      </c>
      <c r="V23" s="30" t="s">
        <v>7</v>
      </c>
      <c r="W23" s="30" t="s">
        <v>330</v>
      </c>
      <c r="X23" s="30">
        <v>126.67</v>
      </c>
      <c r="Y23" s="50">
        <v>101.34</v>
      </c>
      <c r="Z23" s="50">
        <f t="shared" si="2"/>
        <v>80.003157811636541</v>
      </c>
      <c r="AB23" s="30">
        <v>800</v>
      </c>
      <c r="AC23" s="30">
        <v>140</v>
      </c>
      <c r="AD23" s="30" t="s">
        <v>7</v>
      </c>
      <c r="AE23" s="30" t="s">
        <v>380</v>
      </c>
      <c r="AF23" s="30">
        <v>127.59</v>
      </c>
      <c r="AG23">
        <v>100.1</v>
      </c>
      <c r="AH23" s="50">
        <f t="shared" si="3"/>
        <v>78.454424327925381</v>
      </c>
      <c r="AJ23" s="30">
        <v>800</v>
      </c>
      <c r="AK23" s="30">
        <v>140</v>
      </c>
      <c r="AL23" s="30" t="s">
        <v>7</v>
      </c>
      <c r="AM23" s="30" t="s">
        <v>203</v>
      </c>
      <c r="AN23" s="30">
        <v>47.88</v>
      </c>
      <c r="AO23">
        <v>41.09</v>
      </c>
      <c r="AP23">
        <f t="shared" si="4"/>
        <v>85.818713450292407</v>
      </c>
      <c r="AR23" s="30">
        <v>800</v>
      </c>
      <c r="AS23" s="30">
        <v>140</v>
      </c>
      <c r="AT23" s="30" t="s">
        <v>7</v>
      </c>
      <c r="AU23" s="30" t="s">
        <v>251</v>
      </c>
      <c r="AV23" s="30">
        <v>55.75</v>
      </c>
      <c r="AW23">
        <v>47</v>
      </c>
      <c r="AX23" s="50">
        <f t="shared" si="5"/>
        <v>84.304932735426007</v>
      </c>
    </row>
    <row r="24" spans="1:50">
      <c r="A24" s="30">
        <v>1000</v>
      </c>
      <c r="B24" s="42">
        <v>40</v>
      </c>
      <c r="C24" s="42" t="s">
        <v>0</v>
      </c>
      <c r="D24" s="42" t="s">
        <v>94</v>
      </c>
      <c r="E24" s="42">
        <v>74.09</v>
      </c>
      <c r="F24">
        <v>61.75</v>
      </c>
      <c r="G24">
        <f t="shared" si="0"/>
        <v>83.344580915103251</v>
      </c>
      <c r="H24"/>
      <c r="J24" s="30">
        <v>1000</v>
      </c>
      <c r="K24" s="42">
        <v>40</v>
      </c>
      <c r="L24" s="42" t="s">
        <v>0</v>
      </c>
      <c r="M24" s="42" t="s">
        <v>149</v>
      </c>
      <c r="N24" s="42">
        <v>72.459999999999994</v>
      </c>
      <c r="O24">
        <v>63.12</v>
      </c>
      <c r="P24" s="50">
        <f t="shared" si="1"/>
        <v>87.110129726745797</v>
      </c>
      <c r="T24" s="30">
        <v>800</v>
      </c>
      <c r="U24" s="30">
        <v>180</v>
      </c>
      <c r="V24" s="30" t="s">
        <v>8</v>
      </c>
      <c r="W24" s="30" t="s">
        <v>331</v>
      </c>
      <c r="X24" s="30">
        <v>127.66</v>
      </c>
      <c r="Y24" s="50">
        <v>94.83</v>
      </c>
      <c r="Z24" s="50">
        <f t="shared" si="2"/>
        <v>74.283252389158704</v>
      </c>
      <c r="AB24" s="30">
        <v>800</v>
      </c>
      <c r="AC24" s="30">
        <v>180</v>
      </c>
      <c r="AD24" s="30" t="s">
        <v>8</v>
      </c>
      <c r="AE24" s="30" t="s">
        <v>381</v>
      </c>
      <c r="AF24" s="30">
        <v>128.47</v>
      </c>
      <c r="AG24">
        <v>95.63</v>
      </c>
      <c r="AH24" s="50">
        <f t="shared" si="3"/>
        <v>74.437611893827352</v>
      </c>
      <c r="AJ24" s="30">
        <v>800</v>
      </c>
      <c r="AK24" s="30">
        <v>180</v>
      </c>
      <c r="AL24" s="30" t="s">
        <v>8</v>
      </c>
      <c r="AM24" s="30" t="s">
        <v>204</v>
      </c>
      <c r="AN24" s="30">
        <v>45.61</v>
      </c>
      <c r="AO24">
        <v>40.340000000000003</v>
      </c>
      <c r="AP24">
        <f t="shared" si="4"/>
        <v>88.445516334137267</v>
      </c>
      <c r="AR24" s="30">
        <v>800</v>
      </c>
      <c r="AS24" s="30">
        <v>180</v>
      </c>
      <c r="AT24" s="30" t="s">
        <v>8</v>
      </c>
      <c r="AU24" s="30" t="s">
        <v>252</v>
      </c>
      <c r="AV24" s="30">
        <v>54.89</v>
      </c>
      <c r="AW24">
        <v>46.54</v>
      </c>
      <c r="AX24" s="50">
        <f t="shared" si="5"/>
        <v>84.787757332847519</v>
      </c>
    </row>
    <row r="25" spans="1:50">
      <c r="A25" s="30">
        <v>1000</v>
      </c>
      <c r="B25" s="30">
        <v>80</v>
      </c>
      <c r="C25" s="30" t="s">
        <v>1</v>
      </c>
      <c r="D25" s="30" t="s">
        <v>95</v>
      </c>
      <c r="E25" s="30">
        <v>90.41</v>
      </c>
      <c r="F25">
        <v>79.86</v>
      </c>
      <c r="G25">
        <f t="shared" si="0"/>
        <v>88.330936843269541</v>
      </c>
      <c r="H25"/>
      <c r="J25" s="30">
        <v>1000</v>
      </c>
      <c r="K25" s="30">
        <v>80</v>
      </c>
      <c r="L25" s="30" t="s">
        <v>1</v>
      </c>
      <c r="M25" s="30" t="s">
        <v>150</v>
      </c>
      <c r="N25" s="30">
        <v>110.22</v>
      </c>
      <c r="O25">
        <v>91.24</v>
      </c>
      <c r="P25" s="50">
        <f t="shared" si="1"/>
        <v>82.779894755942649</v>
      </c>
      <c r="T25" s="30">
        <v>800</v>
      </c>
      <c r="U25" s="30" t="s">
        <v>9</v>
      </c>
      <c r="V25" s="30" t="s">
        <v>10</v>
      </c>
      <c r="W25" s="30" t="s">
        <v>332</v>
      </c>
      <c r="X25" s="30">
        <v>127.35</v>
      </c>
      <c r="Y25" s="50">
        <v>94.56</v>
      </c>
      <c r="Z25" s="50">
        <f t="shared" si="2"/>
        <v>74.252061248527696</v>
      </c>
      <c r="AB25" s="30">
        <v>800</v>
      </c>
      <c r="AC25" s="30" t="s">
        <v>9</v>
      </c>
      <c r="AD25" s="30" t="s">
        <v>10</v>
      </c>
      <c r="AE25" s="30" t="s">
        <v>382</v>
      </c>
      <c r="AF25" s="30">
        <v>128.74</v>
      </c>
      <c r="AG25">
        <v>94.51</v>
      </c>
      <c r="AH25" s="50">
        <f t="shared" si="3"/>
        <v>73.411527108901666</v>
      </c>
      <c r="AJ25" s="30">
        <v>800</v>
      </c>
      <c r="AK25" s="30" t="s">
        <v>9</v>
      </c>
      <c r="AL25" s="30" t="s">
        <v>10</v>
      </c>
      <c r="AM25" s="30" t="s">
        <v>205</v>
      </c>
      <c r="AN25" s="30">
        <v>47.35</v>
      </c>
      <c r="AO25">
        <v>41.27</v>
      </c>
      <c r="AP25">
        <f t="shared" si="4"/>
        <v>87.159450897571276</v>
      </c>
      <c r="AR25" s="30">
        <v>800</v>
      </c>
      <c r="AS25" s="30" t="s">
        <v>9</v>
      </c>
      <c r="AT25" s="30" t="s">
        <v>10</v>
      </c>
      <c r="AU25" s="30" t="s">
        <v>253</v>
      </c>
      <c r="AV25" s="30">
        <v>55.29</v>
      </c>
      <c r="AW25">
        <v>46.74</v>
      </c>
      <c r="AX25" s="50">
        <f t="shared" si="5"/>
        <v>84.536082474226802</v>
      </c>
    </row>
    <row r="26" spans="1:50">
      <c r="A26" s="30">
        <v>1000</v>
      </c>
      <c r="B26" s="30">
        <v>100</v>
      </c>
      <c r="C26" s="30" t="s">
        <v>2</v>
      </c>
      <c r="D26" s="30" t="s">
        <v>96</v>
      </c>
      <c r="E26" s="30">
        <v>89.87</v>
      </c>
      <c r="F26">
        <v>79.06</v>
      </c>
      <c r="G26">
        <f t="shared" si="0"/>
        <v>87.971514409702905</v>
      </c>
      <c r="H26"/>
      <c r="J26" s="30">
        <v>1000</v>
      </c>
      <c r="K26" s="30">
        <v>100</v>
      </c>
      <c r="L26" s="30" t="s">
        <v>2</v>
      </c>
      <c r="M26" s="30" t="s">
        <v>151</v>
      </c>
      <c r="N26" s="30">
        <v>102.35</v>
      </c>
      <c r="O26">
        <v>87.33</v>
      </c>
      <c r="P26" s="50">
        <f t="shared" si="1"/>
        <v>85.324865657059107</v>
      </c>
      <c r="T26" s="30">
        <v>800</v>
      </c>
      <c r="U26" s="30">
        <v>200</v>
      </c>
      <c r="V26" s="30" t="s">
        <v>3</v>
      </c>
      <c r="W26" s="30" t="s">
        <v>333</v>
      </c>
      <c r="X26" s="30">
        <v>127.63</v>
      </c>
      <c r="Y26" s="50">
        <v>94.53</v>
      </c>
      <c r="Z26" s="50">
        <f t="shared" si="2"/>
        <v>74.065658544229422</v>
      </c>
      <c r="AB26" s="30">
        <v>800</v>
      </c>
      <c r="AC26" s="30">
        <v>200</v>
      </c>
      <c r="AD26" s="30" t="s">
        <v>3</v>
      </c>
      <c r="AE26" s="30" t="s">
        <v>383</v>
      </c>
      <c r="AF26" s="30">
        <v>129.59</v>
      </c>
      <c r="AG26">
        <v>94.55</v>
      </c>
      <c r="AH26" s="50">
        <f t="shared" si="3"/>
        <v>72.960876610849596</v>
      </c>
      <c r="AJ26" s="30">
        <v>800</v>
      </c>
      <c r="AK26" s="30">
        <v>200</v>
      </c>
      <c r="AL26" s="30" t="s">
        <v>3</v>
      </c>
      <c r="AM26" s="30" t="s">
        <v>206</v>
      </c>
      <c r="AN26" s="30">
        <v>47.66</v>
      </c>
      <c r="AO26">
        <v>40.9</v>
      </c>
      <c r="AP26">
        <f t="shared" si="4"/>
        <v>85.816198069660103</v>
      </c>
      <c r="AR26" s="30">
        <v>800</v>
      </c>
      <c r="AS26" s="30">
        <v>200</v>
      </c>
      <c r="AT26" s="30" t="s">
        <v>3</v>
      </c>
      <c r="AU26" s="30" t="s">
        <v>254</v>
      </c>
      <c r="AV26" s="30">
        <v>55.57</v>
      </c>
      <c r="AW26">
        <v>46.94</v>
      </c>
      <c r="AX26" s="50">
        <f t="shared" si="5"/>
        <v>84.470037790174544</v>
      </c>
    </row>
    <row r="27" spans="1:50">
      <c r="A27" s="30">
        <v>1000</v>
      </c>
      <c r="B27" s="30">
        <v>200</v>
      </c>
      <c r="C27" s="30" t="s">
        <v>3</v>
      </c>
      <c r="D27" s="30" t="s">
        <v>97</v>
      </c>
      <c r="E27" s="30">
        <v>89.61</v>
      </c>
      <c r="F27">
        <v>78.88</v>
      </c>
      <c r="G27">
        <f t="shared" si="0"/>
        <v>88.025889967637539</v>
      </c>
      <c r="H27"/>
      <c r="J27" s="30">
        <v>1000</v>
      </c>
      <c r="K27" s="30">
        <v>200</v>
      </c>
      <c r="L27" s="30" t="s">
        <v>3</v>
      </c>
      <c r="M27" s="30" t="s">
        <v>152</v>
      </c>
      <c r="N27" s="30">
        <v>110.67</v>
      </c>
      <c r="O27">
        <v>90.7</v>
      </c>
      <c r="P27" s="50">
        <f t="shared" si="1"/>
        <v>81.955362790277391</v>
      </c>
      <c r="T27" s="30">
        <v>800</v>
      </c>
      <c r="U27" s="30">
        <v>240</v>
      </c>
      <c r="V27" s="30" t="s">
        <v>11</v>
      </c>
      <c r="W27" s="30" t="s">
        <v>334</v>
      </c>
      <c r="X27" s="31">
        <v>127.77</v>
      </c>
      <c r="Y27" s="50">
        <v>92</v>
      </c>
      <c r="Z27" s="50">
        <f t="shared" si="2"/>
        <v>72.004382875479379</v>
      </c>
      <c r="AB27" s="30">
        <v>800</v>
      </c>
      <c r="AC27" s="30">
        <v>240</v>
      </c>
      <c r="AD27" s="30" t="s">
        <v>11</v>
      </c>
      <c r="AE27" s="30" t="s">
        <v>384</v>
      </c>
      <c r="AF27" s="31">
        <v>130.29</v>
      </c>
      <c r="AG27">
        <v>93.85</v>
      </c>
      <c r="AH27" s="50">
        <f t="shared" si="3"/>
        <v>72.03162176682784</v>
      </c>
      <c r="AJ27" s="30">
        <v>800</v>
      </c>
      <c r="AK27" s="30">
        <v>240</v>
      </c>
      <c r="AL27" s="30" t="s">
        <v>11</v>
      </c>
      <c r="AM27" s="30" t="s">
        <v>207</v>
      </c>
      <c r="AN27" s="30">
        <v>47.76</v>
      </c>
      <c r="AO27">
        <v>41.32</v>
      </c>
      <c r="AP27">
        <f t="shared" si="4"/>
        <v>86.515912897822446</v>
      </c>
      <c r="AR27" s="30">
        <v>800</v>
      </c>
      <c r="AS27" s="30">
        <v>240</v>
      </c>
      <c r="AT27" s="30" t="s">
        <v>11</v>
      </c>
      <c r="AU27" s="30" t="s">
        <v>255</v>
      </c>
      <c r="AV27" s="30">
        <v>54.76</v>
      </c>
      <c r="AW27">
        <v>46.27</v>
      </c>
      <c r="AX27" s="50">
        <f t="shared" si="5"/>
        <v>84.495982468955461</v>
      </c>
    </row>
    <row r="28" spans="1:50">
      <c r="A28" s="30">
        <v>1000</v>
      </c>
      <c r="B28" s="30">
        <v>400</v>
      </c>
      <c r="C28" s="30">
        <v>45880</v>
      </c>
      <c r="D28" s="30" t="s">
        <v>98</v>
      </c>
      <c r="E28" s="30">
        <v>90.25</v>
      </c>
      <c r="F28">
        <v>78.73</v>
      </c>
      <c r="G28">
        <f t="shared" si="0"/>
        <v>87.23545706371192</v>
      </c>
      <c r="H28"/>
      <c r="J28" s="30">
        <v>1000</v>
      </c>
      <c r="K28" s="30">
        <v>400</v>
      </c>
      <c r="L28" s="30">
        <v>45880</v>
      </c>
      <c r="M28" s="30" t="s">
        <v>153</v>
      </c>
      <c r="N28" s="30">
        <v>109.05</v>
      </c>
      <c r="O28">
        <v>91.8</v>
      </c>
      <c r="P28" s="50">
        <f t="shared" si="1"/>
        <v>84.181568088033004</v>
      </c>
      <c r="T28" s="30">
        <v>800</v>
      </c>
      <c r="U28" s="30">
        <v>280</v>
      </c>
      <c r="V28" s="30" t="s">
        <v>12</v>
      </c>
      <c r="W28" s="30" t="s">
        <v>335</v>
      </c>
      <c r="X28" s="30">
        <v>126.16</v>
      </c>
      <c r="Y28" s="50">
        <v>93.23</v>
      </c>
      <c r="Z28" s="50">
        <f t="shared" si="2"/>
        <v>73.898224476854793</v>
      </c>
      <c r="AB28" s="30">
        <v>800</v>
      </c>
      <c r="AC28" s="30">
        <v>280</v>
      </c>
      <c r="AD28" s="30" t="s">
        <v>12</v>
      </c>
      <c r="AE28" s="30" t="s">
        <v>385</v>
      </c>
      <c r="AF28" s="30">
        <v>126.49</v>
      </c>
      <c r="AG28">
        <v>93.65</v>
      </c>
      <c r="AH28" s="50">
        <f t="shared" si="3"/>
        <v>74.037473318048868</v>
      </c>
      <c r="AJ28" s="30">
        <v>800</v>
      </c>
      <c r="AK28" s="30">
        <v>280</v>
      </c>
      <c r="AL28" s="30" t="s">
        <v>12</v>
      </c>
      <c r="AM28" s="30" t="s">
        <v>208</v>
      </c>
      <c r="AN28" s="30">
        <v>47.59</v>
      </c>
      <c r="AO28">
        <v>41.51</v>
      </c>
      <c r="AP28">
        <f t="shared" si="4"/>
        <v>87.224206766127338</v>
      </c>
      <c r="AR28" s="30">
        <v>800</v>
      </c>
      <c r="AS28" s="30">
        <v>280</v>
      </c>
      <c r="AT28" s="30" t="s">
        <v>12</v>
      </c>
      <c r="AU28" s="30" t="s">
        <v>256</v>
      </c>
      <c r="AV28" s="30">
        <v>53.62</v>
      </c>
      <c r="AW28">
        <v>46.18</v>
      </c>
      <c r="AX28" s="50">
        <f t="shared" si="5"/>
        <v>86.124580380455058</v>
      </c>
    </row>
    <row r="29" spans="1:50">
      <c r="A29" s="30">
        <v>1000</v>
      </c>
      <c r="B29" s="30">
        <v>800</v>
      </c>
      <c r="C29" s="30">
        <v>45480</v>
      </c>
      <c r="D29" s="30" t="s">
        <v>99</v>
      </c>
      <c r="E29" s="30">
        <v>90.98</v>
      </c>
      <c r="F29">
        <v>83.09</v>
      </c>
      <c r="G29">
        <f t="shared" si="0"/>
        <v>91.327764343811822</v>
      </c>
      <c r="H29"/>
      <c r="J29" s="30">
        <v>1000</v>
      </c>
      <c r="K29" s="30">
        <v>800</v>
      </c>
      <c r="L29" s="30">
        <v>45480</v>
      </c>
      <c r="M29" s="30" t="s">
        <v>154</v>
      </c>
      <c r="N29" s="30">
        <v>111.88</v>
      </c>
      <c r="O29">
        <v>95.85</v>
      </c>
      <c r="P29" s="50">
        <f t="shared" si="1"/>
        <v>85.672148730782979</v>
      </c>
      <c r="T29" s="30">
        <v>800</v>
      </c>
      <c r="U29" s="30" t="s">
        <v>13</v>
      </c>
      <c r="V29" s="30" t="s">
        <v>14</v>
      </c>
      <c r="W29" s="30" t="s">
        <v>336</v>
      </c>
      <c r="X29" s="30">
        <v>126.73</v>
      </c>
      <c r="Y29" s="50">
        <v>94.8</v>
      </c>
      <c r="Z29" s="50">
        <f t="shared" si="2"/>
        <v>74.804702911702037</v>
      </c>
      <c r="AB29" s="30">
        <v>800</v>
      </c>
      <c r="AC29" s="30" t="s">
        <v>13</v>
      </c>
      <c r="AD29" s="30" t="s">
        <v>14</v>
      </c>
      <c r="AE29" s="30" t="s">
        <v>386</v>
      </c>
      <c r="AF29" s="30">
        <v>128.94999999999999</v>
      </c>
      <c r="AG29">
        <v>95.36</v>
      </c>
      <c r="AH29" s="50">
        <f t="shared" si="3"/>
        <v>73.951143854207061</v>
      </c>
      <c r="AJ29" s="30">
        <v>800</v>
      </c>
      <c r="AK29" s="30" t="s">
        <v>13</v>
      </c>
      <c r="AL29" s="30" t="s">
        <v>14</v>
      </c>
      <c r="AM29" s="30" t="s">
        <v>209</v>
      </c>
      <c r="AN29" s="30">
        <v>47.57</v>
      </c>
      <c r="AO29">
        <v>41.12</v>
      </c>
      <c r="AP29">
        <f t="shared" si="4"/>
        <v>86.441034265293254</v>
      </c>
      <c r="AR29" s="30">
        <v>800</v>
      </c>
      <c r="AS29" s="30" t="s">
        <v>13</v>
      </c>
      <c r="AT29" s="30" t="s">
        <v>14</v>
      </c>
      <c r="AU29" s="30" t="s">
        <v>257</v>
      </c>
      <c r="AV29" s="30">
        <v>55.57</v>
      </c>
      <c r="AW29">
        <v>46.66</v>
      </c>
      <c r="AX29" s="50">
        <f t="shared" si="5"/>
        <v>83.96616879611301</v>
      </c>
    </row>
    <row r="30" spans="1:50">
      <c r="A30" s="30">
        <v>1000</v>
      </c>
      <c r="B30" s="30">
        <v>1000</v>
      </c>
      <c r="C30" s="30" t="s">
        <v>4</v>
      </c>
      <c r="D30" s="30" t="s">
        <v>100</v>
      </c>
      <c r="E30" s="30">
        <v>91.03</v>
      </c>
      <c r="F30">
        <v>82.09</v>
      </c>
      <c r="G30">
        <f t="shared" si="0"/>
        <v>90.179061847742503</v>
      </c>
      <c r="H30"/>
      <c r="J30" s="30">
        <v>1000</v>
      </c>
      <c r="K30" s="30">
        <v>1000</v>
      </c>
      <c r="L30" s="30" t="s">
        <v>4</v>
      </c>
      <c r="M30" s="30" t="s">
        <v>155</v>
      </c>
      <c r="N30" s="30">
        <v>111.26</v>
      </c>
      <c r="O30">
        <v>93.68</v>
      </c>
      <c r="P30" s="50">
        <f t="shared" si="1"/>
        <v>84.199173108035225</v>
      </c>
      <c r="T30" s="30">
        <v>800</v>
      </c>
      <c r="U30" s="30">
        <v>300</v>
      </c>
      <c r="V30" s="30">
        <v>45980</v>
      </c>
      <c r="W30" s="30" t="s">
        <v>337</v>
      </c>
      <c r="X30" s="30">
        <v>126.03</v>
      </c>
      <c r="Y30" s="50">
        <v>94.28</v>
      </c>
      <c r="Z30" s="50">
        <f t="shared" si="2"/>
        <v>74.807585495516932</v>
      </c>
      <c r="AB30" s="30">
        <v>800</v>
      </c>
      <c r="AC30" s="30">
        <v>300</v>
      </c>
      <c r="AD30" s="30">
        <v>45980</v>
      </c>
      <c r="AE30" s="30" t="s">
        <v>387</v>
      </c>
      <c r="AF30" s="30">
        <v>128.47999999999999</v>
      </c>
      <c r="AG30">
        <v>94.82</v>
      </c>
      <c r="AH30" s="50">
        <f t="shared" si="3"/>
        <v>73.801369863013704</v>
      </c>
      <c r="AJ30" s="30">
        <v>800</v>
      </c>
      <c r="AK30" s="30">
        <v>300</v>
      </c>
      <c r="AL30" s="30">
        <v>45980</v>
      </c>
      <c r="AM30" s="30" t="s">
        <v>210</v>
      </c>
      <c r="AN30" s="30">
        <v>46.96</v>
      </c>
      <c r="AO30">
        <v>40.68</v>
      </c>
      <c r="AP30">
        <f t="shared" si="4"/>
        <v>86.626916524701869</v>
      </c>
      <c r="AR30" s="30">
        <v>800</v>
      </c>
      <c r="AS30" s="30">
        <v>300</v>
      </c>
      <c r="AT30" s="30">
        <v>45980</v>
      </c>
      <c r="AU30" s="30" t="s">
        <v>258</v>
      </c>
      <c r="AV30" s="30">
        <v>55.14</v>
      </c>
      <c r="AW30">
        <v>46.25</v>
      </c>
      <c r="AX30" s="50">
        <f t="shared" si="5"/>
        <v>83.877402974247374</v>
      </c>
    </row>
    <row r="31" spans="1:50">
      <c r="A31" s="30">
        <v>2000</v>
      </c>
      <c r="B31" s="42">
        <v>40</v>
      </c>
      <c r="C31" s="42" t="s">
        <v>0</v>
      </c>
      <c r="D31" s="42" t="s">
        <v>101</v>
      </c>
      <c r="E31" s="42">
        <v>79.849999999999994</v>
      </c>
      <c r="F31">
        <v>70.59</v>
      </c>
      <c r="G31">
        <f t="shared" si="0"/>
        <v>88.403256105197258</v>
      </c>
      <c r="H31"/>
      <c r="J31" s="30">
        <v>2000</v>
      </c>
      <c r="K31" s="42">
        <v>40</v>
      </c>
      <c r="L31" s="42" t="s">
        <v>0</v>
      </c>
      <c r="M31" s="42" t="s">
        <v>156</v>
      </c>
      <c r="N31" s="42">
        <v>81.13</v>
      </c>
      <c r="O31">
        <v>72.489999999999995</v>
      </c>
      <c r="P31" s="50">
        <f t="shared" si="1"/>
        <v>89.350425243436462</v>
      </c>
      <c r="T31" s="30">
        <v>800</v>
      </c>
      <c r="U31" s="30">
        <v>340</v>
      </c>
      <c r="V31" s="30">
        <v>45940</v>
      </c>
      <c r="W31" s="30" t="s">
        <v>338</v>
      </c>
      <c r="X31" s="30">
        <v>125.62</v>
      </c>
      <c r="Y31" s="50">
        <v>94.31</v>
      </c>
      <c r="Z31" s="50">
        <f t="shared" si="2"/>
        <v>75.075624900493551</v>
      </c>
      <c r="AB31" s="30">
        <v>800</v>
      </c>
      <c r="AC31" s="30">
        <v>340</v>
      </c>
      <c r="AD31" s="30">
        <v>45940</v>
      </c>
      <c r="AE31" s="30" t="s">
        <v>388</v>
      </c>
      <c r="AF31" s="30">
        <v>127.89</v>
      </c>
      <c r="AG31">
        <v>94.63</v>
      </c>
      <c r="AH31" s="50">
        <f t="shared" si="3"/>
        <v>73.993275471107978</v>
      </c>
      <c r="AJ31" s="30">
        <v>800</v>
      </c>
      <c r="AK31" s="30">
        <v>340</v>
      </c>
      <c r="AL31" s="30">
        <v>45940</v>
      </c>
      <c r="AM31" s="30" t="s">
        <v>211</v>
      </c>
      <c r="AN31" s="30">
        <v>46.54</v>
      </c>
      <c r="AO31">
        <v>40.44</v>
      </c>
      <c r="AP31">
        <f t="shared" si="4"/>
        <v>86.892995272883539</v>
      </c>
      <c r="AR31" s="30">
        <v>800</v>
      </c>
      <c r="AS31" s="30">
        <v>340</v>
      </c>
      <c r="AT31" s="30">
        <v>45940</v>
      </c>
      <c r="AU31" s="30" t="s">
        <v>259</v>
      </c>
      <c r="AV31" s="30">
        <v>54.44</v>
      </c>
      <c r="AW31">
        <v>46.14</v>
      </c>
      <c r="AX31" s="50">
        <f t="shared" si="5"/>
        <v>84.753857457751664</v>
      </c>
    </row>
    <row r="32" spans="1:50">
      <c r="A32" s="30">
        <v>2000</v>
      </c>
      <c r="B32" s="30">
        <v>80</v>
      </c>
      <c r="C32" s="30" t="s">
        <v>1</v>
      </c>
      <c r="D32" s="30" t="s">
        <v>102</v>
      </c>
      <c r="E32" s="30">
        <v>127.53</v>
      </c>
      <c r="F32">
        <v>112.8</v>
      </c>
      <c r="G32">
        <f t="shared" si="0"/>
        <v>88.449776523171025</v>
      </c>
      <c r="H32"/>
      <c r="J32" s="30">
        <v>2000</v>
      </c>
      <c r="K32" s="30">
        <v>80</v>
      </c>
      <c r="L32" s="30" t="s">
        <v>1</v>
      </c>
      <c r="M32" s="30" t="s">
        <v>157</v>
      </c>
      <c r="N32" s="30">
        <v>144.69</v>
      </c>
      <c r="O32">
        <v>125.69</v>
      </c>
      <c r="P32" s="50">
        <f t="shared" si="1"/>
        <v>86.868477434515171</v>
      </c>
      <c r="T32" s="30">
        <v>800</v>
      </c>
      <c r="U32" s="30">
        <v>380</v>
      </c>
      <c r="V32" s="30">
        <v>45900</v>
      </c>
      <c r="W32" s="30" t="s">
        <v>339</v>
      </c>
      <c r="X32" s="30">
        <v>122.9</v>
      </c>
      <c r="Y32" s="50">
        <v>94.43</v>
      </c>
      <c r="Z32" s="50">
        <f t="shared" si="2"/>
        <v>76.834825061025228</v>
      </c>
      <c r="AB32" s="30">
        <v>800</v>
      </c>
      <c r="AC32" s="30">
        <v>380</v>
      </c>
      <c r="AD32" s="30">
        <v>45900</v>
      </c>
      <c r="AE32" s="30" t="s">
        <v>389</v>
      </c>
      <c r="AF32" s="30">
        <v>126</v>
      </c>
      <c r="AG32">
        <v>94</v>
      </c>
      <c r="AH32" s="50">
        <f t="shared" si="3"/>
        <v>74.603174603174608</v>
      </c>
      <c r="AJ32" s="30">
        <v>800</v>
      </c>
      <c r="AK32" s="30">
        <v>380</v>
      </c>
      <c r="AL32" s="30">
        <v>45900</v>
      </c>
      <c r="AM32" s="30" t="s">
        <v>212</v>
      </c>
      <c r="AN32" s="30">
        <v>46.16</v>
      </c>
      <c r="AO32">
        <v>40.54</v>
      </c>
      <c r="AP32">
        <f t="shared" si="4"/>
        <v>87.824956672443676</v>
      </c>
      <c r="AR32" s="30">
        <v>800</v>
      </c>
      <c r="AS32" s="30">
        <v>380</v>
      </c>
      <c r="AT32" s="30">
        <v>45900</v>
      </c>
      <c r="AU32" s="30" t="s">
        <v>260</v>
      </c>
      <c r="AV32" s="30">
        <v>54.18</v>
      </c>
      <c r="AW32">
        <v>46.03</v>
      </c>
      <c r="AX32" s="50">
        <f t="shared" si="5"/>
        <v>84.957548911037279</v>
      </c>
    </row>
    <row r="33" spans="1:50">
      <c r="A33" s="30">
        <v>2000</v>
      </c>
      <c r="B33" s="30">
        <v>100</v>
      </c>
      <c r="C33" s="30" t="s">
        <v>2</v>
      </c>
      <c r="D33" s="30" t="s">
        <v>103</v>
      </c>
      <c r="E33" s="30">
        <v>124.36</v>
      </c>
      <c r="F33">
        <v>107.81</v>
      </c>
      <c r="G33">
        <f t="shared" si="0"/>
        <v>86.691862335156003</v>
      </c>
      <c r="H33"/>
      <c r="J33" s="30">
        <v>2000</v>
      </c>
      <c r="K33" s="30">
        <v>100</v>
      </c>
      <c r="L33" s="30" t="s">
        <v>2</v>
      </c>
      <c r="M33" s="30" t="s">
        <v>158</v>
      </c>
      <c r="N33" s="30">
        <v>136.81</v>
      </c>
      <c r="O33">
        <v>114.9</v>
      </c>
      <c r="P33" s="50">
        <f t="shared" si="1"/>
        <v>83.985088809297565</v>
      </c>
      <c r="T33" s="30">
        <v>800</v>
      </c>
      <c r="U33" s="30" t="s">
        <v>15</v>
      </c>
      <c r="V33" s="30" t="s">
        <v>16</v>
      </c>
      <c r="W33" s="30" t="s">
        <v>340</v>
      </c>
      <c r="X33" s="30">
        <v>122.36</v>
      </c>
      <c r="Y33" s="50">
        <v>94.61</v>
      </c>
      <c r="Z33" s="50">
        <f t="shared" si="2"/>
        <v>77.321019941157246</v>
      </c>
      <c r="AB33" s="30">
        <v>800</v>
      </c>
      <c r="AC33" s="30" t="s">
        <v>15</v>
      </c>
      <c r="AD33" s="30" t="s">
        <v>16</v>
      </c>
      <c r="AE33" s="30" t="s">
        <v>390</v>
      </c>
      <c r="AF33" s="30">
        <v>123.42</v>
      </c>
      <c r="AG33">
        <v>94.5</v>
      </c>
      <c r="AH33" s="50">
        <f t="shared" si="3"/>
        <v>76.567817209528442</v>
      </c>
      <c r="AJ33" s="30">
        <v>800</v>
      </c>
      <c r="AK33" s="30" t="s">
        <v>15</v>
      </c>
      <c r="AL33" s="30" t="s">
        <v>16</v>
      </c>
      <c r="AM33" s="30" t="s">
        <v>213</v>
      </c>
      <c r="AN33" s="30">
        <v>45.09</v>
      </c>
      <c r="AO33">
        <v>40.450000000000003</v>
      </c>
      <c r="AP33">
        <f t="shared" si="4"/>
        <v>89.7094699489909</v>
      </c>
      <c r="AR33" s="30">
        <v>800</v>
      </c>
      <c r="AS33" s="30" t="s">
        <v>15</v>
      </c>
      <c r="AT33" s="30" t="s">
        <v>16</v>
      </c>
      <c r="AU33" s="30" t="s">
        <v>261</v>
      </c>
      <c r="AV33" s="30">
        <v>52.32</v>
      </c>
      <c r="AW33">
        <v>45.74</v>
      </c>
      <c r="AX33" s="50">
        <f t="shared" si="5"/>
        <v>87.423547400611625</v>
      </c>
    </row>
    <row r="34" spans="1:50">
      <c r="A34" s="30">
        <v>2000</v>
      </c>
      <c r="B34" s="30">
        <v>200</v>
      </c>
      <c r="C34" s="30" t="s">
        <v>3</v>
      </c>
      <c r="D34" s="30" t="s">
        <v>104</v>
      </c>
      <c r="E34" s="30">
        <v>123.52</v>
      </c>
      <c r="F34">
        <v>110.11</v>
      </c>
      <c r="G34">
        <f t="shared" si="0"/>
        <v>89.1434585492228</v>
      </c>
      <c r="H34"/>
      <c r="J34" s="30">
        <v>2000</v>
      </c>
      <c r="K34" s="30">
        <v>200</v>
      </c>
      <c r="L34" s="30" t="s">
        <v>3</v>
      </c>
      <c r="M34" s="30" t="s">
        <v>159</v>
      </c>
      <c r="N34" s="30">
        <v>139.66</v>
      </c>
      <c r="O34">
        <v>119.99</v>
      </c>
      <c r="P34" s="50">
        <f t="shared" si="1"/>
        <v>85.915795503365317</v>
      </c>
      <c r="T34" s="30">
        <v>800</v>
      </c>
      <c r="U34" s="30">
        <v>400</v>
      </c>
      <c r="V34" s="30">
        <v>45880</v>
      </c>
      <c r="W34" s="30" t="s">
        <v>341</v>
      </c>
      <c r="X34" s="30">
        <v>125.43</v>
      </c>
      <c r="Y34" s="50">
        <v>93.73</v>
      </c>
      <c r="Z34" s="50">
        <f t="shared" si="2"/>
        <v>74.726939328709236</v>
      </c>
      <c r="AB34" s="30">
        <v>800</v>
      </c>
      <c r="AC34" s="30">
        <v>400</v>
      </c>
      <c r="AD34" s="30">
        <v>45880</v>
      </c>
      <c r="AE34" s="30" t="s">
        <v>391</v>
      </c>
      <c r="AF34" s="30">
        <v>123.84</v>
      </c>
      <c r="AG34">
        <v>95.24</v>
      </c>
      <c r="AH34" s="50">
        <f t="shared" si="3"/>
        <v>76.905684754521957</v>
      </c>
      <c r="AJ34" s="30">
        <v>800</v>
      </c>
      <c r="AK34" s="30">
        <v>400</v>
      </c>
      <c r="AL34" s="30">
        <v>45880</v>
      </c>
      <c r="AM34" s="30" t="s">
        <v>214</v>
      </c>
      <c r="AN34" s="30">
        <v>47.62</v>
      </c>
      <c r="AO34">
        <v>41.69</v>
      </c>
      <c r="AP34">
        <f t="shared" si="4"/>
        <v>87.547249055018895</v>
      </c>
      <c r="AR34" s="30">
        <v>800</v>
      </c>
      <c r="AS34" s="30">
        <v>400</v>
      </c>
      <c r="AT34" s="30">
        <v>45880</v>
      </c>
      <c r="AU34" s="30" t="s">
        <v>262</v>
      </c>
      <c r="AV34" s="30">
        <v>55.64</v>
      </c>
      <c r="AW34">
        <v>46.94</v>
      </c>
      <c r="AX34" s="50">
        <f t="shared" si="5"/>
        <v>84.363767074047445</v>
      </c>
    </row>
    <row r="35" spans="1:50">
      <c r="A35" s="30">
        <v>2000</v>
      </c>
      <c r="B35" s="30">
        <v>400</v>
      </c>
      <c r="C35" s="30">
        <v>45880</v>
      </c>
      <c r="D35" s="30" t="s">
        <v>105</v>
      </c>
      <c r="E35" s="30">
        <v>126.43</v>
      </c>
      <c r="F35">
        <v>112.93</v>
      </c>
      <c r="G35">
        <f t="shared" si="0"/>
        <v>89.322154551925976</v>
      </c>
      <c r="H35"/>
      <c r="J35" s="30">
        <v>2000</v>
      </c>
      <c r="K35" s="30">
        <v>400</v>
      </c>
      <c r="L35" s="30">
        <v>45880</v>
      </c>
      <c r="M35" s="30" t="s">
        <v>160</v>
      </c>
      <c r="N35" s="30">
        <v>143.28</v>
      </c>
      <c r="O35">
        <v>125.48</v>
      </c>
      <c r="P35" s="50">
        <f t="shared" si="1"/>
        <v>87.576772752652161</v>
      </c>
      <c r="T35" s="30">
        <v>800</v>
      </c>
      <c r="U35" s="30">
        <v>440</v>
      </c>
      <c r="V35" s="30">
        <v>45840</v>
      </c>
      <c r="W35" s="30" t="s">
        <v>342</v>
      </c>
      <c r="X35" s="30">
        <v>125.84</v>
      </c>
      <c r="Y35" s="50">
        <v>104.04</v>
      </c>
      <c r="Z35" s="50">
        <f t="shared" si="2"/>
        <v>82.676414494596315</v>
      </c>
      <c r="AB35" s="30">
        <v>800</v>
      </c>
      <c r="AC35" s="30">
        <v>440</v>
      </c>
      <c r="AD35" s="30">
        <v>45840</v>
      </c>
      <c r="AE35" s="30" t="s">
        <v>392</v>
      </c>
      <c r="AF35" s="30">
        <v>125.05</v>
      </c>
      <c r="AG35">
        <v>104.38</v>
      </c>
      <c r="AH35" s="50">
        <f t="shared" si="3"/>
        <v>83.470611755297881</v>
      </c>
      <c r="AJ35" s="30">
        <v>800</v>
      </c>
      <c r="AK35" s="30">
        <v>440</v>
      </c>
      <c r="AL35" s="30">
        <v>45840</v>
      </c>
      <c r="AM35" s="30" t="s">
        <v>215</v>
      </c>
      <c r="AN35" s="30">
        <v>47.81</v>
      </c>
      <c r="AO35">
        <v>41.55</v>
      </c>
      <c r="AP35">
        <f t="shared" si="4"/>
        <v>86.906504915289673</v>
      </c>
      <c r="AR35" s="30">
        <v>800</v>
      </c>
      <c r="AS35" s="30">
        <v>440</v>
      </c>
      <c r="AT35" s="30">
        <v>45840</v>
      </c>
      <c r="AU35" s="30" t="s">
        <v>263</v>
      </c>
      <c r="AV35" s="30">
        <v>55.98</v>
      </c>
      <c r="AW35">
        <v>47.41</v>
      </c>
      <c r="AX35" s="50">
        <f t="shared" si="5"/>
        <v>84.690961057520539</v>
      </c>
    </row>
    <row r="36" spans="1:50">
      <c r="A36" s="30">
        <v>2000</v>
      </c>
      <c r="B36" s="30">
        <v>800</v>
      </c>
      <c r="C36" s="30">
        <v>45480</v>
      </c>
      <c r="D36" s="30" t="s">
        <v>106</v>
      </c>
      <c r="E36" s="30">
        <v>125.53</v>
      </c>
      <c r="F36">
        <v>113.06</v>
      </c>
      <c r="G36">
        <f t="shared" si="0"/>
        <v>90.066119652672668</v>
      </c>
      <c r="H36"/>
      <c r="J36" s="30">
        <v>2000</v>
      </c>
      <c r="K36" s="30">
        <v>800</v>
      </c>
      <c r="L36" s="30">
        <v>45480</v>
      </c>
      <c r="M36" s="30" t="s">
        <v>161</v>
      </c>
      <c r="N36" s="30">
        <v>143.30000000000001</v>
      </c>
      <c r="O36">
        <v>124.61</v>
      </c>
      <c r="P36" s="50">
        <f t="shared" si="1"/>
        <v>86.957431960921141</v>
      </c>
      <c r="T36" s="30">
        <v>800</v>
      </c>
      <c r="U36" s="30">
        <v>480</v>
      </c>
      <c r="V36" s="30">
        <v>45800</v>
      </c>
      <c r="W36" s="30" t="s">
        <v>343</v>
      </c>
      <c r="X36" s="30">
        <v>126.82</v>
      </c>
      <c r="Y36" s="50">
        <v>113.36</v>
      </c>
      <c r="Z36" s="50">
        <f t="shared" si="2"/>
        <v>89.386532092729851</v>
      </c>
      <c r="AB36" s="30">
        <v>800</v>
      </c>
      <c r="AC36" s="30">
        <v>480</v>
      </c>
      <c r="AD36" s="30">
        <v>45800</v>
      </c>
      <c r="AE36" s="30" t="s">
        <v>393</v>
      </c>
      <c r="AF36" s="30">
        <v>125.39</v>
      </c>
      <c r="AG36">
        <v>112.64</v>
      </c>
      <c r="AH36" s="50">
        <f t="shared" si="3"/>
        <v>89.831725017944024</v>
      </c>
      <c r="AJ36" s="30">
        <v>800</v>
      </c>
      <c r="AK36" s="30">
        <v>480</v>
      </c>
      <c r="AL36" s="30">
        <v>45800</v>
      </c>
      <c r="AM36" s="30" t="s">
        <v>216</v>
      </c>
      <c r="AN36" s="30">
        <v>48.18</v>
      </c>
      <c r="AO36">
        <v>42.75</v>
      </c>
      <c r="AP36">
        <f t="shared" si="4"/>
        <v>88.729763387297638</v>
      </c>
      <c r="AR36" s="30">
        <v>800</v>
      </c>
      <c r="AS36" s="30">
        <v>480</v>
      </c>
      <c r="AT36" s="30">
        <v>45800</v>
      </c>
      <c r="AU36" s="30" t="s">
        <v>264</v>
      </c>
      <c r="AV36" s="30">
        <v>56.5</v>
      </c>
      <c r="AW36">
        <v>48.27</v>
      </c>
      <c r="AX36" s="50">
        <f t="shared" si="5"/>
        <v>85.43362831858407</v>
      </c>
    </row>
    <row r="37" spans="1:50">
      <c r="A37" s="30">
        <v>2000</v>
      </c>
      <c r="B37" s="30">
        <v>1000</v>
      </c>
      <c r="C37" s="30" t="s">
        <v>4</v>
      </c>
      <c r="D37" s="30" t="s">
        <v>107</v>
      </c>
      <c r="E37" s="30">
        <v>125.83</v>
      </c>
      <c r="F37">
        <v>112.23</v>
      </c>
      <c r="G37">
        <f t="shared" si="0"/>
        <v>89.191766669315754</v>
      </c>
      <c r="H37"/>
      <c r="J37" s="30">
        <v>2000</v>
      </c>
      <c r="K37" s="30">
        <v>1000</v>
      </c>
      <c r="L37" s="30" t="s">
        <v>4</v>
      </c>
      <c r="M37" s="30" t="s">
        <v>162</v>
      </c>
      <c r="N37" s="30">
        <v>145.1</v>
      </c>
      <c r="O37">
        <v>127.83</v>
      </c>
      <c r="P37" s="50">
        <f t="shared" si="1"/>
        <v>88.097863542384573</v>
      </c>
      <c r="T37" s="30">
        <v>800</v>
      </c>
      <c r="U37" s="30" t="s">
        <v>17</v>
      </c>
      <c r="V37" s="30" t="s">
        <v>18</v>
      </c>
      <c r="W37" s="30" t="s">
        <v>344</v>
      </c>
      <c r="X37" s="30">
        <v>126.01</v>
      </c>
      <c r="Y37" s="50">
        <v>101.95</v>
      </c>
      <c r="Z37" s="50">
        <f t="shared" si="2"/>
        <v>80.906277279580991</v>
      </c>
      <c r="AB37" s="30">
        <v>800</v>
      </c>
      <c r="AC37" s="30" t="s">
        <v>17</v>
      </c>
      <c r="AD37" s="30" t="s">
        <v>18</v>
      </c>
      <c r="AE37" s="30" t="s">
        <v>394</v>
      </c>
      <c r="AF37" s="30">
        <v>125.64</v>
      </c>
      <c r="AG37">
        <v>102.21</v>
      </c>
      <c r="AH37" s="50">
        <f t="shared" si="3"/>
        <v>81.351480420248322</v>
      </c>
      <c r="AJ37" s="30">
        <v>800</v>
      </c>
      <c r="AK37" s="30" t="s">
        <v>17</v>
      </c>
      <c r="AL37" s="30" t="s">
        <v>18</v>
      </c>
      <c r="AM37" s="30" t="s">
        <v>217</v>
      </c>
      <c r="AN37" s="30">
        <v>48.09</v>
      </c>
      <c r="AO37">
        <v>41.92</v>
      </c>
      <c r="AP37">
        <f t="shared" si="4"/>
        <v>87.169889789977134</v>
      </c>
      <c r="AR37" s="30">
        <v>800</v>
      </c>
      <c r="AS37" s="30" t="s">
        <v>17</v>
      </c>
      <c r="AT37" s="30" t="s">
        <v>18</v>
      </c>
      <c r="AU37" s="30" t="s">
        <v>265</v>
      </c>
      <c r="AV37" s="30">
        <v>56.3</v>
      </c>
      <c r="AW37">
        <v>47.87</v>
      </c>
      <c r="AX37" s="50">
        <f t="shared" si="5"/>
        <v>85.026642984014217</v>
      </c>
    </row>
    <row r="38" spans="1:50">
      <c r="A38" s="30">
        <v>4000</v>
      </c>
      <c r="B38" s="42">
        <v>40</v>
      </c>
      <c r="C38" s="42" t="s">
        <v>0</v>
      </c>
      <c r="D38" s="42" t="s">
        <v>108</v>
      </c>
      <c r="E38" s="42">
        <v>90.38</v>
      </c>
      <c r="F38">
        <v>80.75</v>
      </c>
      <c r="G38">
        <f t="shared" si="0"/>
        <v>89.344987829165746</v>
      </c>
      <c r="H38"/>
      <c r="J38" s="30">
        <v>4000</v>
      </c>
      <c r="K38" s="42">
        <v>40</v>
      </c>
      <c r="L38" s="42" t="s">
        <v>0</v>
      </c>
      <c r="M38" s="42" t="s">
        <v>163</v>
      </c>
      <c r="N38" s="42">
        <v>91.55</v>
      </c>
      <c r="O38">
        <v>81.180000000000007</v>
      </c>
      <c r="P38" s="50">
        <f t="shared" si="1"/>
        <v>88.672856362643373</v>
      </c>
      <c r="T38" s="30">
        <v>800</v>
      </c>
      <c r="U38" s="30">
        <v>500</v>
      </c>
      <c r="V38" s="30">
        <v>45780</v>
      </c>
      <c r="W38" s="30" t="s">
        <v>345</v>
      </c>
      <c r="X38" s="30">
        <v>126.5</v>
      </c>
      <c r="Y38" s="50">
        <v>93.84</v>
      </c>
      <c r="Z38" s="50">
        <f t="shared" si="2"/>
        <v>74.181818181818187</v>
      </c>
      <c r="AB38" s="30">
        <v>800</v>
      </c>
      <c r="AC38" s="30">
        <v>500</v>
      </c>
      <c r="AD38" s="30">
        <v>45780</v>
      </c>
      <c r="AE38" s="30" t="s">
        <v>395</v>
      </c>
      <c r="AF38" s="30">
        <v>125.82</v>
      </c>
      <c r="AG38">
        <v>95.27</v>
      </c>
      <c r="AH38" s="50">
        <f t="shared" si="3"/>
        <v>75.719281513272932</v>
      </c>
      <c r="AJ38" s="30">
        <v>800</v>
      </c>
      <c r="AK38" s="30">
        <v>500</v>
      </c>
      <c r="AL38" s="30">
        <v>45780</v>
      </c>
      <c r="AM38" s="30" t="s">
        <v>218</v>
      </c>
      <c r="AN38" s="30">
        <v>47.19</v>
      </c>
      <c r="AO38">
        <v>41.48</v>
      </c>
      <c r="AP38">
        <f t="shared" si="4"/>
        <v>87.899978809069708</v>
      </c>
      <c r="AR38" s="30">
        <v>800</v>
      </c>
      <c r="AS38" s="30">
        <v>500</v>
      </c>
      <c r="AT38" s="30">
        <v>45780</v>
      </c>
      <c r="AU38" s="30" t="s">
        <v>266</v>
      </c>
      <c r="AV38" s="30">
        <v>56.11</v>
      </c>
      <c r="AW38">
        <v>47.68</v>
      </c>
      <c r="AX38" s="50">
        <f t="shared" si="5"/>
        <v>84.975940117626095</v>
      </c>
    </row>
    <row r="39" spans="1:50">
      <c r="A39" s="30">
        <v>4000</v>
      </c>
      <c r="B39" s="30">
        <v>80</v>
      </c>
      <c r="C39" s="30" t="s">
        <v>1</v>
      </c>
      <c r="D39" s="30" t="s">
        <v>109</v>
      </c>
      <c r="E39" s="30">
        <v>156.34</v>
      </c>
      <c r="F39">
        <v>133.44</v>
      </c>
      <c r="G39">
        <f t="shared" si="0"/>
        <v>85.352436996290137</v>
      </c>
      <c r="H39"/>
      <c r="J39" s="30">
        <v>4000</v>
      </c>
      <c r="K39" s="30">
        <v>80</v>
      </c>
      <c r="L39" s="30" t="s">
        <v>1</v>
      </c>
      <c r="M39" s="30" t="s">
        <v>164</v>
      </c>
      <c r="N39" s="30">
        <v>157.9</v>
      </c>
      <c r="O39">
        <v>141.52000000000001</v>
      </c>
      <c r="P39" s="50">
        <f t="shared" si="1"/>
        <v>89.626345788473714</v>
      </c>
      <c r="T39" s="30">
        <v>800</v>
      </c>
      <c r="U39" s="30">
        <v>540</v>
      </c>
      <c r="V39" s="30">
        <v>45740</v>
      </c>
      <c r="W39" s="30" t="s">
        <v>346</v>
      </c>
      <c r="X39" s="30">
        <v>126.55</v>
      </c>
      <c r="Y39" s="50">
        <v>93.1</v>
      </c>
      <c r="Z39" s="50">
        <f t="shared" si="2"/>
        <v>73.567759778743579</v>
      </c>
      <c r="AB39" s="30">
        <v>800</v>
      </c>
      <c r="AC39" s="30">
        <v>540</v>
      </c>
      <c r="AD39" s="30">
        <v>45740</v>
      </c>
      <c r="AE39" s="30" t="s">
        <v>396</v>
      </c>
      <c r="AF39" s="30">
        <v>126.41</v>
      </c>
      <c r="AG39">
        <v>94.56</v>
      </c>
      <c r="AH39" s="50">
        <f t="shared" si="3"/>
        <v>74.804208527806352</v>
      </c>
      <c r="AJ39" s="30">
        <v>800</v>
      </c>
      <c r="AK39" s="30">
        <v>540</v>
      </c>
      <c r="AL39" s="30">
        <v>45740</v>
      </c>
      <c r="AM39" s="30" t="s">
        <v>219</v>
      </c>
      <c r="AN39" s="30">
        <v>47.29</v>
      </c>
      <c r="AO39">
        <v>41.11</v>
      </c>
      <c r="AP39">
        <f t="shared" si="4"/>
        <v>86.931698033410868</v>
      </c>
      <c r="AR39" s="30">
        <v>800</v>
      </c>
      <c r="AS39" s="30">
        <v>540</v>
      </c>
      <c r="AT39" s="30">
        <v>45740</v>
      </c>
      <c r="AU39" s="30" t="s">
        <v>267</v>
      </c>
      <c r="AV39" s="30">
        <v>56.05</v>
      </c>
      <c r="AW39">
        <v>47.3</v>
      </c>
      <c r="AX39" s="50">
        <f t="shared" si="5"/>
        <v>84.388938447814454</v>
      </c>
    </row>
    <row r="40" spans="1:50">
      <c r="A40" s="30">
        <v>4000</v>
      </c>
      <c r="B40" s="30">
        <v>100</v>
      </c>
      <c r="C40" s="30" t="s">
        <v>2</v>
      </c>
      <c r="D40" s="30" t="s">
        <v>110</v>
      </c>
      <c r="E40" s="30">
        <v>157.82</v>
      </c>
      <c r="F40">
        <v>135.37</v>
      </c>
      <c r="G40">
        <f t="shared" si="0"/>
        <v>85.774933468508436</v>
      </c>
      <c r="H40"/>
      <c r="J40" s="30">
        <v>4000</v>
      </c>
      <c r="K40" s="30">
        <v>100</v>
      </c>
      <c r="L40" s="30" t="s">
        <v>2</v>
      </c>
      <c r="M40" s="30" t="s">
        <v>165</v>
      </c>
      <c r="N40" s="30">
        <v>158.69999999999999</v>
      </c>
      <c r="O40">
        <v>141.91999999999999</v>
      </c>
      <c r="P40" s="50">
        <f t="shared" si="1"/>
        <v>89.426591052299926</v>
      </c>
      <c r="T40" s="30">
        <v>800</v>
      </c>
      <c r="U40" s="30">
        <v>580</v>
      </c>
      <c r="V40" s="30">
        <v>45700</v>
      </c>
      <c r="W40" s="30" t="s">
        <v>347</v>
      </c>
      <c r="X40" s="30">
        <v>126.42</v>
      </c>
      <c r="Y40" s="50">
        <v>92.31</v>
      </c>
      <c r="Z40" s="50">
        <f t="shared" si="2"/>
        <v>73.01850972947318</v>
      </c>
      <c r="AB40" s="30">
        <v>800</v>
      </c>
      <c r="AC40" s="30">
        <v>580</v>
      </c>
      <c r="AD40" s="30">
        <v>45700</v>
      </c>
      <c r="AE40" s="30" t="s">
        <v>397</v>
      </c>
      <c r="AF40" s="30">
        <v>127.26</v>
      </c>
      <c r="AG40">
        <v>93.12</v>
      </c>
      <c r="AH40" s="50">
        <f t="shared" si="3"/>
        <v>73.173031588873172</v>
      </c>
      <c r="AJ40" s="30">
        <v>800</v>
      </c>
      <c r="AK40" s="30">
        <v>580</v>
      </c>
      <c r="AL40" s="30">
        <v>45700</v>
      </c>
      <c r="AM40" s="30" t="s">
        <v>220</v>
      </c>
      <c r="AN40" s="30">
        <v>46.94</v>
      </c>
      <c r="AO40">
        <v>41.18</v>
      </c>
      <c r="AP40">
        <f t="shared" si="4"/>
        <v>87.729015764806135</v>
      </c>
      <c r="AR40" s="30">
        <v>800</v>
      </c>
      <c r="AS40" s="30">
        <v>580</v>
      </c>
      <c r="AT40" s="30">
        <v>45700</v>
      </c>
      <c r="AU40" s="30" t="s">
        <v>268</v>
      </c>
      <c r="AV40" s="30">
        <v>55.82</v>
      </c>
      <c r="AW40">
        <v>47.21</v>
      </c>
      <c r="AX40" s="50">
        <f t="shared" si="5"/>
        <v>84.575420996058753</v>
      </c>
    </row>
    <row r="41" spans="1:50">
      <c r="A41" s="30">
        <v>4000</v>
      </c>
      <c r="B41" s="30">
        <v>200</v>
      </c>
      <c r="C41" s="30" t="s">
        <v>3</v>
      </c>
      <c r="D41" s="30" t="s">
        <v>111</v>
      </c>
      <c r="E41" s="30">
        <v>156.22</v>
      </c>
      <c r="F41">
        <v>136.56</v>
      </c>
      <c r="G41">
        <f t="shared" si="0"/>
        <v>87.415183715273344</v>
      </c>
      <c r="H41"/>
      <c r="J41" s="30">
        <v>4000</v>
      </c>
      <c r="K41" s="30">
        <v>200</v>
      </c>
      <c r="L41" s="30" t="s">
        <v>3</v>
      </c>
      <c r="M41" s="30" t="s">
        <v>166</v>
      </c>
      <c r="N41" s="30">
        <v>159.87</v>
      </c>
      <c r="O41">
        <v>142.80000000000001</v>
      </c>
      <c r="P41" s="50">
        <f t="shared" si="1"/>
        <v>89.322574591855883</v>
      </c>
      <c r="T41" s="30">
        <v>800</v>
      </c>
      <c r="U41" s="30" t="s">
        <v>19</v>
      </c>
      <c r="V41" s="30" t="s">
        <v>20</v>
      </c>
      <c r="W41" s="30" t="s">
        <v>348</v>
      </c>
      <c r="X41" s="30">
        <v>126.43</v>
      </c>
      <c r="Y41" s="50">
        <v>91.22</v>
      </c>
      <c r="Z41" s="50">
        <f t="shared" si="2"/>
        <v>72.150597168393574</v>
      </c>
      <c r="AB41" s="30">
        <v>800</v>
      </c>
      <c r="AC41" s="30" t="s">
        <v>19</v>
      </c>
      <c r="AD41" s="30" t="s">
        <v>20</v>
      </c>
      <c r="AE41" s="30" t="s">
        <v>398</v>
      </c>
      <c r="AF41" s="30">
        <v>127.6</v>
      </c>
      <c r="AG41">
        <v>91.56</v>
      </c>
      <c r="AH41" s="50">
        <f t="shared" si="3"/>
        <v>71.755485893416932</v>
      </c>
      <c r="AJ41" s="30">
        <v>800</v>
      </c>
      <c r="AK41" s="30" t="s">
        <v>19</v>
      </c>
      <c r="AL41" s="30" t="s">
        <v>20</v>
      </c>
      <c r="AM41" s="30" t="s">
        <v>221</v>
      </c>
      <c r="AN41" s="30">
        <v>46.93</v>
      </c>
      <c r="AO41">
        <v>40.53</v>
      </c>
      <c r="AP41">
        <f t="shared" si="4"/>
        <v>86.362667803111009</v>
      </c>
      <c r="AR41" s="30">
        <v>800</v>
      </c>
      <c r="AS41" s="30" t="s">
        <v>19</v>
      </c>
      <c r="AT41" s="30" t="s">
        <v>20</v>
      </c>
      <c r="AU41" s="30" t="s">
        <v>269</v>
      </c>
      <c r="AV41" s="30">
        <v>55.5</v>
      </c>
      <c r="AW41">
        <v>46.78</v>
      </c>
      <c r="AX41" s="50">
        <f t="shared" si="5"/>
        <v>84.2882882882883</v>
      </c>
    </row>
    <row r="42" spans="1:50">
      <c r="A42" s="30">
        <v>4000</v>
      </c>
      <c r="B42" s="30">
        <v>400</v>
      </c>
      <c r="C42" s="30">
        <v>45880</v>
      </c>
      <c r="D42" s="30" t="s">
        <v>112</v>
      </c>
      <c r="E42" s="30">
        <v>152.71</v>
      </c>
      <c r="F42">
        <v>136.18</v>
      </c>
      <c r="G42">
        <f t="shared" si="0"/>
        <v>89.175561521838773</v>
      </c>
      <c r="H42"/>
      <c r="J42" s="30">
        <v>4000</v>
      </c>
      <c r="K42" s="30">
        <v>400</v>
      </c>
      <c r="L42" s="30">
        <v>45880</v>
      </c>
      <c r="M42" s="30" t="s">
        <v>167</v>
      </c>
      <c r="N42" s="30">
        <v>157.66</v>
      </c>
      <c r="O42">
        <v>142.63</v>
      </c>
      <c r="P42" s="50">
        <f t="shared" si="1"/>
        <v>90.466827349993665</v>
      </c>
      <c r="T42" s="30">
        <v>800</v>
      </c>
      <c r="U42" s="30">
        <v>600</v>
      </c>
      <c r="V42" s="30">
        <v>45680</v>
      </c>
      <c r="W42" s="30" t="s">
        <v>349</v>
      </c>
      <c r="X42" s="30">
        <v>125.88</v>
      </c>
      <c r="Y42" s="50">
        <v>90.1</v>
      </c>
      <c r="Z42" s="50">
        <f t="shared" si="2"/>
        <v>71.57610422624721</v>
      </c>
      <c r="AB42" s="30">
        <v>800</v>
      </c>
      <c r="AC42" s="30">
        <v>600</v>
      </c>
      <c r="AD42" s="30">
        <v>45680</v>
      </c>
      <c r="AE42" s="30" t="s">
        <v>399</v>
      </c>
      <c r="AF42" s="30">
        <v>127.05</v>
      </c>
      <c r="AG42">
        <v>90.84</v>
      </c>
      <c r="AH42" s="50">
        <f t="shared" si="3"/>
        <v>71.49940968122786</v>
      </c>
      <c r="AJ42" s="30">
        <v>800</v>
      </c>
      <c r="AK42" s="30">
        <v>600</v>
      </c>
      <c r="AL42" s="30">
        <v>45680</v>
      </c>
      <c r="AM42" s="30" t="s">
        <v>222</v>
      </c>
      <c r="AN42" s="30">
        <v>46.98</v>
      </c>
      <c r="AO42">
        <v>40.93</v>
      </c>
      <c r="AP42">
        <f t="shared" si="4"/>
        <v>87.122179650915285</v>
      </c>
      <c r="AR42" s="30">
        <v>800</v>
      </c>
      <c r="AS42" s="30">
        <v>600</v>
      </c>
      <c r="AT42" s="30">
        <v>45680</v>
      </c>
      <c r="AU42" s="30" t="s">
        <v>270</v>
      </c>
      <c r="AV42" s="30">
        <v>55.15</v>
      </c>
      <c r="AW42">
        <v>46.85</v>
      </c>
      <c r="AX42" s="50">
        <f t="shared" si="5"/>
        <v>84.95013599274705</v>
      </c>
    </row>
    <row r="43" spans="1:50">
      <c r="A43" s="30">
        <v>4000</v>
      </c>
      <c r="B43" s="30">
        <v>800</v>
      </c>
      <c r="C43" s="30">
        <v>45480</v>
      </c>
      <c r="D43" s="30" t="s">
        <v>113</v>
      </c>
      <c r="E43" s="30">
        <v>153.79</v>
      </c>
      <c r="F43">
        <v>137.41999999999999</v>
      </c>
      <c r="G43">
        <f t="shared" si="0"/>
        <v>89.355614799401778</v>
      </c>
      <c r="H43"/>
      <c r="J43" s="30">
        <v>4000</v>
      </c>
      <c r="K43" s="30">
        <v>800</v>
      </c>
      <c r="L43" s="30">
        <v>45480</v>
      </c>
      <c r="M43" s="30" t="s">
        <v>168</v>
      </c>
      <c r="N43" s="30">
        <v>158.96</v>
      </c>
      <c r="O43">
        <v>143.66</v>
      </c>
      <c r="P43" s="50">
        <f t="shared" si="1"/>
        <v>90.374937091092093</v>
      </c>
      <c r="T43" s="30">
        <v>800</v>
      </c>
      <c r="U43" s="30">
        <v>640</v>
      </c>
      <c r="V43" s="30">
        <v>45640</v>
      </c>
      <c r="W43" s="30" t="s">
        <v>350</v>
      </c>
      <c r="X43" s="30">
        <v>125.81</v>
      </c>
      <c r="Y43" s="50">
        <v>89.27</v>
      </c>
      <c r="Z43" s="50">
        <f t="shared" si="2"/>
        <v>70.956203799380006</v>
      </c>
      <c r="AB43" s="30">
        <v>800</v>
      </c>
      <c r="AC43" s="30">
        <v>640</v>
      </c>
      <c r="AD43" s="30">
        <v>45640</v>
      </c>
      <c r="AE43" s="30" t="s">
        <v>400</v>
      </c>
      <c r="AF43" s="30">
        <v>126.2</v>
      </c>
      <c r="AG43">
        <v>90.09</v>
      </c>
      <c r="AH43" s="50">
        <f t="shared" si="3"/>
        <v>71.386687797147388</v>
      </c>
      <c r="AJ43" s="30">
        <v>800</v>
      </c>
      <c r="AK43" s="30">
        <v>640</v>
      </c>
      <c r="AL43" s="30">
        <v>45640</v>
      </c>
      <c r="AM43" s="30" t="s">
        <v>223</v>
      </c>
      <c r="AN43" s="30">
        <v>45.87</v>
      </c>
      <c r="AO43">
        <v>40.46</v>
      </c>
      <c r="AP43">
        <f t="shared" si="4"/>
        <v>88.205798997165914</v>
      </c>
      <c r="AR43" s="30">
        <v>800</v>
      </c>
      <c r="AS43" s="30">
        <v>640</v>
      </c>
      <c r="AT43" s="30">
        <v>45640</v>
      </c>
      <c r="AU43" s="30" t="s">
        <v>271</v>
      </c>
      <c r="AV43" s="30">
        <v>55.07</v>
      </c>
      <c r="AW43">
        <v>46.53</v>
      </c>
      <c r="AX43" s="50">
        <f t="shared" si="5"/>
        <v>84.49246413655348</v>
      </c>
    </row>
    <row r="44" spans="1:50">
      <c r="A44" s="30">
        <v>4000</v>
      </c>
      <c r="B44" s="30">
        <v>1000</v>
      </c>
      <c r="C44" s="30" t="s">
        <v>4</v>
      </c>
      <c r="D44" s="30" t="s">
        <v>114</v>
      </c>
      <c r="E44" s="30">
        <v>149.32</v>
      </c>
      <c r="F44">
        <v>135.33000000000001</v>
      </c>
      <c r="G44">
        <f t="shared" si="0"/>
        <v>90.630859898205202</v>
      </c>
      <c r="H44"/>
      <c r="J44" s="30">
        <v>4000</v>
      </c>
      <c r="K44" s="30">
        <v>1000</v>
      </c>
      <c r="L44" s="30" t="s">
        <v>4</v>
      </c>
      <c r="M44" s="30" t="s">
        <v>169</v>
      </c>
      <c r="N44" s="30">
        <v>158.02000000000001</v>
      </c>
      <c r="O44">
        <v>141.01</v>
      </c>
      <c r="P44" s="50">
        <f t="shared" si="1"/>
        <v>89.235539805087953</v>
      </c>
      <c r="T44" s="30">
        <v>800</v>
      </c>
      <c r="U44" s="30">
        <v>680</v>
      </c>
      <c r="V44" s="30">
        <v>45600</v>
      </c>
      <c r="W44" s="30" t="s">
        <v>351</v>
      </c>
      <c r="X44" s="30">
        <v>125.77</v>
      </c>
      <c r="Y44" s="50">
        <v>90.32</v>
      </c>
      <c r="Z44" s="50">
        <f t="shared" si="2"/>
        <v>71.813628051204574</v>
      </c>
      <c r="AB44" s="30">
        <v>800</v>
      </c>
      <c r="AC44" s="30">
        <v>680</v>
      </c>
      <c r="AD44" s="30">
        <v>45600</v>
      </c>
      <c r="AE44" s="30" t="s">
        <v>401</v>
      </c>
      <c r="AF44" s="30">
        <v>126.58</v>
      </c>
      <c r="AG44">
        <v>90.59</v>
      </c>
      <c r="AH44" s="50">
        <f t="shared" si="3"/>
        <v>71.567388212987836</v>
      </c>
      <c r="AJ44" s="30">
        <v>800</v>
      </c>
      <c r="AK44" s="30">
        <v>680</v>
      </c>
      <c r="AL44" s="30">
        <v>45600</v>
      </c>
      <c r="AM44" s="30" t="s">
        <v>224</v>
      </c>
      <c r="AN44" s="30">
        <v>46.11</v>
      </c>
      <c r="AO44">
        <v>40.9</v>
      </c>
      <c r="AP44">
        <f t="shared" si="4"/>
        <v>88.700932552591624</v>
      </c>
      <c r="AR44" s="30">
        <v>800</v>
      </c>
      <c r="AS44" s="30">
        <v>680</v>
      </c>
      <c r="AT44" s="30">
        <v>45600</v>
      </c>
      <c r="AU44" s="30" t="s">
        <v>272</v>
      </c>
      <c r="AV44" s="30">
        <v>54.82</v>
      </c>
      <c r="AW44">
        <v>46.5</v>
      </c>
      <c r="AX44" s="50">
        <f t="shared" si="5"/>
        <v>84.823057278365553</v>
      </c>
    </row>
    <row r="45" spans="1:50">
      <c r="A45" s="30">
        <v>8000</v>
      </c>
      <c r="B45" s="42">
        <v>40</v>
      </c>
      <c r="C45" s="42" t="s">
        <v>0</v>
      </c>
      <c r="D45" s="42" t="s">
        <v>115</v>
      </c>
      <c r="E45" s="42">
        <v>99.49</v>
      </c>
      <c r="F45">
        <v>87.36</v>
      </c>
      <c r="G45">
        <f t="shared" si="0"/>
        <v>87.807819881395119</v>
      </c>
      <c r="H45"/>
      <c r="J45" s="30">
        <v>8000</v>
      </c>
      <c r="K45" s="42">
        <v>40</v>
      </c>
      <c r="L45" s="42" t="s">
        <v>0</v>
      </c>
      <c r="M45" s="42" t="s">
        <v>170</v>
      </c>
      <c r="N45" s="42">
        <v>104.06</v>
      </c>
      <c r="O45">
        <v>89.58</v>
      </c>
      <c r="P45" s="50">
        <f t="shared" si="1"/>
        <v>86.084950989813564</v>
      </c>
      <c r="T45" s="30">
        <v>800</v>
      </c>
      <c r="U45" s="30" t="s">
        <v>21</v>
      </c>
      <c r="V45" s="30" t="s">
        <v>22</v>
      </c>
      <c r="W45" s="30" t="s">
        <v>352</v>
      </c>
      <c r="X45" s="30">
        <v>125.08</v>
      </c>
      <c r="Y45" s="50">
        <v>91.09</v>
      </c>
      <c r="Z45" s="50">
        <f t="shared" si="2"/>
        <v>72.82539174928047</v>
      </c>
      <c r="AB45" s="30">
        <v>800</v>
      </c>
      <c r="AC45" s="30" t="s">
        <v>21</v>
      </c>
      <c r="AD45" s="30" t="s">
        <v>22</v>
      </c>
      <c r="AE45" s="30" t="s">
        <v>402</v>
      </c>
      <c r="AF45" s="30">
        <v>126.27</v>
      </c>
      <c r="AG45">
        <v>91.31</v>
      </c>
      <c r="AH45" s="50">
        <f t="shared" si="3"/>
        <v>72.313296903460838</v>
      </c>
      <c r="AJ45" s="30">
        <v>800</v>
      </c>
      <c r="AK45" s="30" t="s">
        <v>21</v>
      </c>
      <c r="AL45" s="30" t="s">
        <v>22</v>
      </c>
      <c r="AM45" s="30" t="s">
        <v>225</v>
      </c>
      <c r="AN45" s="30">
        <v>46.28</v>
      </c>
      <c r="AO45">
        <v>40.479999999999997</v>
      </c>
      <c r="AP45">
        <f t="shared" si="4"/>
        <v>87.467588591184082</v>
      </c>
      <c r="AR45" s="30">
        <v>800</v>
      </c>
      <c r="AS45" s="30" t="s">
        <v>21</v>
      </c>
      <c r="AT45" s="30" t="s">
        <v>22</v>
      </c>
      <c r="AU45" s="30" t="s">
        <v>273</v>
      </c>
      <c r="AV45" s="30">
        <v>55</v>
      </c>
      <c r="AW45">
        <v>46.49</v>
      </c>
      <c r="AX45" s="50">
        <f t="shared" si="5"/>
        <v>84.527272727272731</v>
      </c>
    </row>
    <row r="46" spans="1:50">
      <c r="A46" s="30">
        <v>8000</v>
      </c>
      <c r="B46" s="30">
        <v>80</v>
      </c>
      <c r="C46" s="30" t="s">
        <v>1</v>
      </c>
      <c r="D46" s="30" t="s">
        <v>116</v>
      </c>
      <c r="E46" s="30">
        <v>170.97</v>
      </c>
      <c r="F46">
        <v>151.38999999999999</v>
      </c>
      <c r="G46">
        <f t="shared" si="0"/>
        <v>88.547698426624549</v>
      </c>
      <c r="H46"/>
      <c r="J46" s="30">
        <v>8000</v>
      </c>
      <c r="K46" s="30">
        <v>80</v>
      </c>
      <c r="L46" s="30" t="s">
        <v>1</v>
      </c>
      <c r="M46" s="30" t="s">
        <v>171</v>
      </c>
      <c r="N46" s="30">
        <v>180.38</v>
      </c>
      <c r="O46">
        <v>158.57</v>
      </c>
      <c r="P46" s="50">
        <f t="shared" si="1"/>
        <v>87.908859075285505</v>
      </c>
      <c r="T46" s="30">
        <v>800</v>
      </c>
      <c r="U46" s="30">
        <v>700</v>
      </c>
      <c r="V46" s="30">
        <v>45580</v>
      </c>
      <c r="W46" s="30" t="s">
        <v>353</v>
      </c>
      <c r="X46" s="30">
        <v>124.53</v>
      </c>
      <c r="Y46" s="50">
        <v>91.71</v>
      </c>
      <c r="Z46" s="50">
        <f t="shared" si="2"/>
        <v>73.644904842206699</v>
      </c>
      <c r="AB46" s="30">
        <v>800</v>
      </c>
      <c r="AC46" s="30">
        <v>700</v>
      </c>
      <c r="AD46" s="30">
        <v>45580</v>
      </c>
      <c r="AE46" s="30" t="s">
        <v>403</v>
      </c>
      <c r="AF46" s="30">
        <v>126.04</v>
      </c>
      <c r="AG46">
        <v>92.64</v>
      </c>
      <c r="AH46" s="50">
        <f t="shared" si="3"/>
        <v>73.500476039352577</v>
      </c>
      <c r="AJ46" s="30">
        <v>800</v>
      </c>
      <c r="AK46" s="30">
        <v>700</v>
      </c>
      <c r="AL46" s="30">
        <v>45580</v>
      </c>
      <c r="AM46" s="30" t="s">
        <v>226</v>
      </c>
      <c r="AN46" s="30">
        <v>46.12</v>
      </c>
      <c r="AO46">
        <v>40.85</v>
      </c>
      <c r="AP46">
        <f t="shared" si="4"/>
        <v>88.573287077189946</v>
      </c>
      <c r="AR46" s="30">
        <v>800</v>
      </c>
      <c r="AS46" s="30">
        <v>700</v>
      </c>
      <c r="AT46" s="30">
        <v>45580</v>
      </c>
      <c r="AU46" s="30" t="s">
        <v>274</v>
      </c>
      <c r="AV46" s="30">
        <v>55.07</v>
      </c>
      <c r="AW46">
        <v>46.62</v>
      </c>
      <c r="AX46" s="50">
        <f t="shared" si="5"/>
        <v>84.655892500453973</v>
      </c>
    </row>
    <row r="47" spans="1:50">
      <c r="A47" s="30">
        <v>8000</v>
      </c>
      <c r="B47" s="30">
        <v>100</v>
      </c>
      <c r="C47" s="30" t="s">
        <v>2</v>
      </c>
      <c r="D47" s="30" t="s">
        <v>117</v>
      </c>
      <c r="E47" s="30">
        <v>169</v>
      </c>
      <c r="F47">
        <v>151.16999999999999</v>
      </c>
      <c r="G47">
        <f t="shared" si="0"/>
        <v>89.449704142011825</v>
      </c>
      <c r="H47"/>
      <c r="J47" s="30">
        <v>8000</v>
      </c>
      <c r="K47" s="30">
        <v>100</v>
      </c>
      <c r="L47" s="30" t="s">
        <v>2</v>
      </c>
      <c r="M47" s="30" t="s">
        <v>172</v>
      </c>
      <c r="N47" s="30">
        <v>180.46</v>
      </c>
      <c r="O47">
        <v>156.97</v>
      </c>
      <c r="P47" s="50">
        <f t="shared" si="1"/>
        <v>86.983264989471337</v>
      </c>
      <c r="T47" s="30">
        <v>800</v>
      </c>
      <c r="U47" s="30">
        <v>740</v>
      </c>
      <c r="V47" s="30">
        <v>45540</v>
      </c>
      <c r="W47" s="30" t="s">
        <v>354</v>
      </c>
      <c r="X47" s="30">
        <v>124.63</v>
      </c>
      <c r="Y47" s="50">
        <v>92.55</v>
      </c>
      <c r="Z47" s="50">
        <f t="shared" si="2"/>
        <v>74.259809034742844</v>
      </c>
      <c r="AB47" s="30">
        <v>800</v>
      </c>
      <c r="AC47" s="30">
        <v>740</v>
      </c>
      <c r="AD47" s="30">
        <v>45540</v>
      </c>
      <c r="AE47" s="30" t="s">
        <v>404</v>
      </c>
      <c r="AF47" s="30">
        <v>125.9</v>
      </c>
      <c r="AG47">
        <v>93.65</v>
      </c>
      <c r="AH47" s="50">
        <f t="shared" si="3"/>
        <v>74.3844320889595</v>
      </c>
      <c r="AJ47" s="30">
        <v>800</v>
      </c>
      <c r="AK47" s="30">
        <v>740</v>
      </c>
      <c r="AL47" s="30">
        <v>45540</v>
      </c>
      <c r="AM47" s="30" t="s">
        <v>227</v>
      </c>
      <c r="AN47" s="30">
        <v>46.64</v>
      </c>
      <c r="AO47">
        <v>40.549999999999997</v>
      </c>
      <c r="AP47">
        <f t="shared" si="4"/>
        <v>86.94253859348197</v>
      </c>
      <c r="AR47" s="30">
        <v>800</v>
      </c>
      <c r="AS47" s="30">
        <v>740</v>
      </c>
      <c r="AT47" s="30">
        <v>45540</v>
      </c>
      <c r="AU47" s="30" t="s">
        <v>275</v>
      </c>
      <c r="AV47" s="30">
        <v>55.46</v>
      </c>
      <c r="AW47">
        <v>46.86</v>
      </c>
      <c r="AX47" s="50">
        <f t="shared" si="5"/>
        <v>84.493328525063106</v>
      </c>
    </row>
    <row r="48" spans="1:50">
      <c r="A48" s="30">
        <v>8000</v>
      </c>
      <c r="B48" s="30">
        <v>200</v>
      </c>
      <c r="C48" s="30" t="s">
        <v>3</v>
      </c>
      <c r="D48" s="30" t="s">
        <v>118</v>
      </c>
      <c r="E48" s="30">
        <v>176.83</v>
      </c>
      <c r="F48">
        <v>156.28</v>
      </c>
      <c r="G48">
        <f t="shared" si="0"/>
        <v>88.3786687779223</v>
      </c>
      <c r="H48"/>
      <c r="J48" s="30">
        <v>8000</v>
      </c>
      <c r="K48" s="30">
        <v>200</v>
      </c>
      <c r="L48" s="30" t="s">
        <v>3</v>
      </c>
      <c r="M48" s="30" t="s">
        <v>173</v>
      </c>
      <c r="N48" s="30">
        <v>181.42</v>
      </c>
      <c r="O48">
        <v>159.87</v>
      </c>
      <c r="P48" s="50">
        <f t="shared" si="1"/>
        <v>88.121486054459268</v>
      </c>
      <c r="T48" s="30">
        <v>800</v>
      </c>
      <c r="U48" s="30">
        <v>780</v>
      </c>
      <c r="V48" s="30">
        <v>45500</v>
      </c>
      <c r="W48" s="30" t="s">
        <v>355</v>
      </c>
      <c r="X48" s="30">
        <v>125.01</v>
      </c>
      <c r="Y48" s="50">
        <v>93.48</v>
      </c>
      <c r="Z48" s="50">
        <f t="shared" si="2"/>
        <v>74.778017758579324</v>
      </c>
      <c r="AB48" s="30">
        <v>800</v>
      </c>
      <c r="AC48" s="30">
        <v>780</v>
      </c>
      <c r="AD48" s="30">
        <v>45500</v>
      </c>
      <c r="AE48" s="30" t="s">
        <v>405</v>
      </c>
      <c r="AF48" s="30">
        <v>125.39</v>
      </c>
      <c r="AG48">
        <v>94.47</v>
      </c>
      <c r="AH48" s="50">
        <f t="shared" si="3"/>
        <v>75.340936278810105</v>
      </c>
      <c r="AJ48" s="30">
        <v>800</v>
      </c>
      <c r="AK48" s="30">
        <v>780</v>
      </c>
      <c r="AL48" s="30">
        <v>45500</v>
      </c>
      <c r="AM48" s="30" t="s">
        <v>228</v>
      </c>
      <c r="AN48" s="30">
        <v>46.49</v>
      </c>
      <c r="AO48">
        <v>41.35</v>
      </c>
      <c r="AP48">
        <f t="shared" si="4"/>
        <v>88.943858894385883</v>
      </c>
      <c r="AR48" s="30">
        <v>800</v>
      </c>
      <c r="AS48" s="30">
        <v>780</v>
      </c>
      <c r="AT48" s="30">
        <v>45500</v>
      </c>
      <c r="AU48" s="30" t="s">
        <v>276</v>
      </c>
      <c r="AV48" s="30">
        <v>55.55</v>
      </c>
      <c r="AW48">
        <v>47.03</v>
      </c>
      <c r="AX48" s="50">
        <f t="shared" si="5"/>
        <v>84.662466246624675</v>
      </c>
    </row>
    <row r="49" spans="1:50">
      <c r="A49" s="30">
        <v>8000</v>
      </c>
      <c r="B49" s="30">
        <v>400</v>
      </c>
      <c r="C49" s="30">
        <v>45880</v>
      </c>
      <c r="D49" s="30" t="s">
        <v>119</v>
      </c>
      <c r="E49" s="30">
        <v>178.75</v>
      </c>
      <c r="F49">
        <v>156.82</v>
      </c>
      <c r="G49">
        <f t="shared" si="0"/>
        <v>87.731468531468522</v>
      </c>
      <c r="H49"/>
      <c r="J49" s="30">
        <v>8000</v>
      </c>
      <c r="K49" s="30">
        <v>400</v>
      </c>
      <c r="L49" s="30">
        <v>45880</v>
      </c>
      <c r="M49" s="30" t="s">
        <v>174</v>
      </c>
      <c r="N49" s="30">
        <v>181.83</v>
      </c>
      <c r="O49">
        <v>159.07</v>
      </c>
      <c r="P49" s="50">
        <f t="shared" si="1"/>
        <v>87.482813617114871</v>
      </c>
      <c r="T49" s="30">
        <v>800</v>
      </c>
      <c r="U49" s="30" t="s">
        <v>23</v>
      </c>
      <c r="V49" s="30" t="s">
        <v>24</v>
      </c>
      <c r="W49" s="30" t="s">
        <v>356</v>
      </c>
      <c r="X49" s="30">
        <v>126.64</v>
      </c>
      <c r="Y49" s="50">
        <v>104.28</v>
      </c>
      <c r="Z49" s="50">
        <f t="shared" si="2"/>
        <v>82.343651295009479</v>
      </c>
      <c r="AB49" s="30">
        <v>800</v>
      </c>
      <c r="AC49" s="30" t="s">
        <v>23</v>
      </c>
      <c r="AD49" s="30" t="s">
        <v>24</v>
      </c>
      <c r="AE49" s="30" t="s">
        <v>406</v>
      </c>
      <c r="AF49" s="30">
        <v>126.51</v>
      </c>
      <c r="AG49">
        <v>103.07</v>
      </c>
      <c r="AH49" s="50">
        <f t="shared" si="3"/>
        <v>81.471820409453784</v>
      </c>
      <c r="AJ49" s="30">
        <v>800</v>
      </c>
      <c r="AK49" s="30" t="s">
        <v>23</v>
      </c>
      <c r="AL49" s="30" t="s">
        <v>24</v>
      </c>
      <c r="AM49" s="30" t="s">
        <v>229</v>
      </c>
      <c r="AN49" s="30">
        <v>47.8</v>
      </c>
      <c r="AO49">
        <v>41.35</v>
      </c>
      <c r="AP49">
        <f t="shared" si="4"/>
        <v>86.506276150627627</v>
      </c>
      <c r="AR49" s="30">
        <v>800</v>
      </c>
      <c r="AS49" s="30" t="s">
        <v>23</v>
      </c>
      <c r="AT49" s="30" t="s">
        <v>24</v>
      </c>
      <c r="AU49" s="30" t="s">
        <v>277</v>
      </c>
      <c r="AV49" s="30">
        <v>56.34</v>
      </c>
      <c r="AW49">
        <v>47.68</v>
      </c>
      <c r="AX49" s="50">
        <f t="shared" si="5"/>
        <v>84.629037983670557</v>
      </c>
    </row>
    <row r="50" spans="1:50">
      <c r="A50" s="30">
        <v>8000</v>
      </c>
      <c r="B50" s="30">
        <v>800</v>
      </c>
      <c r="C50" s="30">
        <v>45480</v>
      </c>
      <c r="D50" s="30" t="s">
        <v>120</v>
      </c>
      <c r="E50" s="30">
        <v>165.27</v>
      </c>
      <c r="F50">
        <v>151.24</v>
      </c>
      <c r="G50">
        <f t="shared" si="0"/>
        <v>91.510861015308294</v>
      </c>
      <c r="H50"/>
      <c r="J50" s="30">
        <v>8000</v>
      </c>
      <c r="K50" s="30">
        <v>800</v>
      </c>
      <c r="L50" s="30">
        <v>45480</v>
      </c>
      <c r="M50" s="30" t="s">
        <v>175</v>
      </c>
      <c r="N50" s="30">
        <v>180.54</v>
      </c>
      <c r="O50">
        <v>158.94999999999999</v>
      </c>
      <c r="P50" s="50">
        <f t="shared" si="1"/>
        <v>88.041431261770242</v>
      </c>
      <c r="T50" s="30">
        <v>800</v>
      </c>
      <c r="U50" s="30">
        <v>800</v>
      </c>
      <c r="V50" s="30">
        <v>45480</v>
      </c>
      <c r="W50" s="30" t="s">
        <v>357</v>
      </c>
      <c r="X50" s="30">
        <v>126.58</v>
      </c>
      <c r="Y50" s="50">
        <v>113.33</v>
      </c>
      <c r="Z50" s="50">
        <f t="shared" si="2"/>
        <v>89.532311581608468</v>
      </c>
      <c r="AB50" s="30">
        <v>800</v>
      </c>
      <c r="AC50" s="30">
        <v>800</v>
      </c>
      <c r="AD50" s="30">
        <v>45480</v>
      </c>
      <c r="AE50" s="30" t="s">
        <v>407</v>
      </c>
      <c r="AF50" s="30">
        <v>126.32</v>
      </c>
      <c r="AG50">
        <v>111.28</v>
      </c>
      <c r="AH50" s="50">
        <f t="shared" si="3"/>
        <v>88.093730208993037</v>
      </c>
      <c r="AJ50" s="30">
        <v>800</v>
      </c>
      <c r="AK50" s="30">
        <v>800</v>
      </c>
      <c r="AL50" s="30">
        <v>45480</v>
      </c>
      <c r="AM50" s="30" t="s">
        <v>230</v>
      </c>
      <c r="AN50" s="30">
        <v>48.15</v>
      </c>
      <c r="AO50">
        <v>42.65</v>
      </c>
      <c r="AP50">
        <f t="shared" si="4"/>
        <v>88.577362409138104</v>
      </c>
      <c r="AR50" s="30">
        <v>800</v>
      </c>
      <c r="AS50" s="30">
        <v>800</v>
      </c>
      <c r="AT50" s="30">
        <v>45480</v>
      </c>
      <c r="AU50" s="30" t="s">
        <v>278</v>
      </c>
      <c r="AV50" s="30">
        <v>56.45</v>
      </c>
      <c r="AW50">
        <v>48</v>
      </c>
      <c r="AX50" s="50">
        <f t="shared" si="5"/>
        <v>85.031000885739587</v>
      </c>
    </row>
    <row r="51" spans="1:50">
      <c r="A51" s="30">
        <v>8000</v>
      </c>
      <c r="B51" s="30">
        <v>1000</v>
      </c>
      <c r="C51" s="30" t="s">
        <v>4</v>
      </c>
      <c r="D51" s="30" t="s">
        <v>121</v>
      </c>
      <c r="E51" s="30">
        <v>173.33</v>
      </c>
      <c r="F51">
        <v>156.16999999999999</v>
      </c>
      <c r="G51">
        <f t="shared" ref="G51:G52" si="6">F51/E51*100</f>
        <v>90.099809611723288</v>
      </c>
      <c r="H51"/>
      <c r="J51" s="30">
        <v>8000</v>
      </c>
      <c r="K51" s="30">
        <v>1000</v>
      </c>
      <c r="L51" s="30" t="s">
        <v>4</v>
      </c>
      <c r="M51" s="30" t="s">
        <v>176</v>
      </c>
      <c r="N51" s="30">
        <v>180.3</v>
      </c>
      <c r="O51">
        <v>158.9</v>
      </c>
      <c r="P51" s="50">
        <f t="shared" si="1"/>
        <v>88.130892956184141</v>
      </c>
    </row>
    <row r="52" spans="1:50">
      <c r="A52" s="30">
        <v>10000</v>
      </c>
      <c r="B52" s="30">
        <v>80</v>
      </c>
      <c r="C52" s="30" t="s">
        <v>1</v>
      </c>
      <c r="D52" s="30" t="s">
        <v>122</v>
      </c>
      <c r="E52" s="30">
        <v>192.88</v>
      </c>
      <c r="F52">
        <v>171.29</v>
      </c>
      <c r="G52">
        <f t="shared" si="6"/>
        <v>88.806511820821228</v>
      </c>
      <c r="H52"/>
      <c r="J52" s="30">
        <v>10000</v>
      </c>
      <c r="K52" s="30">
        <v>80</v>
      </c>
      <c r="L52" s="30" t="s">
        <v>1</v>
      </c>
      <c r="M52" s="30" t="s">
        <v>177</v>
      </c>
      <c r="N52" s="30">
        <v>202.46</v>
      </c>
      <c r="O52">
        <v>176.36</v>
      </c>
      <c r="P52" s="50">
        <f t="shared" si="1"/>
        <v>87.10856465474663</v>
      </c>
    </row>
    <row r="53" spans="1:50">
      <c r="A53" s="30">
        <v>10000</v>
      </c>
      <c r="B53" s="30">
        <v>100</v>
      </c>
      <c r="C53" s="30" t="s">
        <v>2</v>
      </c>
      <c r="D53" s="30" t="s">
        <v>123</v>
      </c>
      <c r="E53" s="31">
        <v>199.27</v>
      </c>
      <c r="F53">
        <v>174.52</v>
      </c>
      <c r="G53">
        <f>F53/E53*100</f>
        <v>87.579665780097358</v>
      </c>
      <c r="H53"/>
      <c r="J53" s="30">
        <v>10000</v>
      </c>
      <c r="K53" s="30">
        <v>100</v>
      </c>
      <c r="L53" s="30" t="s">
        <v>2</v>
      </c>
      <c r="M53" s="30" t="s">
        <v>178</v>
      </c>
      <c r="N53" s="36">
        <v>205.32</v>
      </c>
      <c r="O53">
        <v>176.8</v>
      </c>
      <c r="P53" s="50">
        <f t="shared" si="1"/>
        <v>86.109487629066834</v>
      </c>
    </row>
    <row r="54" spans="1:50">
      <c r="A54" s="30">
        <v>10000</v>
      </c>
      <c r="B54" s="30">
        <v>200</v>
      </c>
      <c r="C54" s="30" t="s">
        <v>3</v>
      </c>
      <c r="D54" s="30" t="s">
        <v>124</v>
      </c>
      <c r="E54" s="30">
        <v>197.32</v>
      </c>
      <c r="F54">
        <v>170.84</v>
      </c>
      <c r="G54">
        <f t="shared" ref="G54:G57" si="7">F54/E54*100</f>
        <v>86.580174336103795</v>
      </c>
      <c r="H54"/>
      <c r="J54" s="30">
        <v>10000</v>
      </c>
      <c r="K54" s="30">
        <v>200</v>
      </c>
      <c r="L54" s="30" t="s">
        <v>3</v>
      </c>
      <c r="M54" s="30" t="s">
        <v>179</v>
      </c>
      <c r="N54" s="35">
        <v>203.68</v>
      </c>
      <c r="O54">
        <v>175.99</v>
      </c>
      <c r="P54" s="50">
        <f t="shared" si="1"/>
        <v>86.405145326001573</v>
      </c>
    </row>
    <row r="55" spans="1:50">
      <c r="A55" s="30">
        <v>10000</v>
      </c>
      <c r="B55" s="30">
        <v>400</v>
      </c>
      <c r="C55" s="30">
        <v>45880</v>
      </c>
      <c r="D55" s="30" t="s">
        <v>125</v>
      </c>
      <c r="E55" s="30">
        <v>197.18</v>
      </c>
      <c r="F55">
        <v>172.32</v>
      </c>
      <c r="G55">
        <f t="shared" si="7"/>
        <v>87.392230449335628</v>
      </c>
      <c r="H55"/>
      <c r="J55" s="30">
        <v>10000</v>
      </c>
      <c r="K55" s="30">
        <v>400</v>
      </c>
      <c r="L55" s="30">
        <v>45880</v>
      </c>
      <c r="M55" s="30" t="s">
        <v>180</v>
      </c>
      <c r="N55" s="30">
        <v>204.27</v>
      </c>
      <c r="O55">
        <v>176.81</v>
      </c>
      <c r="P55" s="50">
        <f t="shared" si="1"/>
        <v>86.55700788172517</v>
      </c>
    </row>
    <row r="56" spans="1:50">
      <c r="A56" s="30">
        <v>10000</v>
      </c>
      <c r="B56" s="30">
        <v>800</v>
      </c>
      <c r="C56" s="30">
        <v>45480</v>
      </c>
      <c r="D56" s="30" t="s">
        <v>126</v>
      </c>
      <c r="E56" s="30">
        <v>197.72</v>
      </c>
      <c r="F56">
        <v>172.91</v>
      </c>
      <c r="G56">
        <f t="shared" si="7"/>
        <v>87.451952255715142</v>
      </c>
      <c r="H56"/>
      <c r="J56" s="30">
        <v>10000</v>
      </c>
      <c r="K56" s="30">
        <v>800</v>
      </c>
      <c r="L56" s="30">
        <v>45480</v>
      </c>
      <c r="M56" s="30" t="s">
        <v>181</v>
      </c>
      <c r="N56" s="30">
        <v>201.76</v>
      </c>
      <c r="O56">
        <v>175.85</v>
      </c>
      <c r="P56" s="50">
        <f t="shared" si="1"/>
        <v>87.158009516256939</v>
      </c>
    </row>
    <row r="57" spans="1:50">
      <c r="A57" s="30">
        <v>10000</v>
      </c>
      <c r="B57" s="30">
        <v>1000</v>
      </c>
      <c r="C57" s="30" t="s">
        <v>4</v>
      </c>
      <c r="D57" s="30" t="s">
        <v>127</v>
      </c>
      <c r="E57" s="30">
        <v>199.11</v>
      </c>
      <c r="F57">
        <v>175.78</v>
      </c>
      <c r="G57">
        <f t="shared" si="7"/>
        <v>88.282858721309822</v>
      </c>
      <c r="H57"/>
      <c r="J57" s="30">
        <v>10000</v>
      </c>
      <c r="K57" s="30">
        <v>1000</v>
      </c>
      <c r="L57" s="30" t="s">
        <v>4</v>
      </c>
      <c r="M57" s="30" t="s">
        <v>182</v>
      </c>
      <c r="N57" s="30">
        <v>198.71</v>
      </c>
      <c r="O57">
        <v>174.53</v>
      </c>
      <c r="P57" s="50">
        <f>O57/N57*100</f>
        <v>87.831513260530414</v>
      </c>
    </row>
    <row r="60" spans="1:50">
      <c r="A60" s="1" t="s">
        <v>32</v>
      </c>
      <c r="B60" s="3" t="s">
        <v>33</v>
      </c>
      <c r="C60" s="3"/>
    </row>
    <row r="63" spans="1:50">
      <c r="A63" s="51" t="s">
        <v>309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</row>
    <row r="64" spans="1:50">
      <c r="A64" s="52" t="s">
        <v>34</v>
      </c>
      <c r="B64" s="52"/>
      <c r="C64" s="52"/>
      <c r="D64" s="52"/>
      <c r="E64" s="52"/>
      <c r="J64" s="51" t="s">
        <v>31</v>
      </c>
      <c r="K64" s="51"/>
      <c r="L64" s="51"/>
      <c r="M64" s="51"/>
      <c r="N64" s="51"/>
      <c r="T64" s="51" t="s">
        <v>279</v>
      </c>
      <c r="U64" s="51"/>
      <c r="V64" s="51"/>
      <c r="W64" s="51"/>
      <c r="X64" s="51"/>
      <c r="AB64" s="51" t="s">
        <v>282</v>
      </c>
      <c r="AC64" s="51"/>
      <c r="AD64" s="51"/>
      <c r="AE64" s="51"/>
      <c r="AF64" s="51"/>
    </row>
    <row r="65" spans="1:35">
      <c r="A65" s="4" t="s">
        <v>25</v>
      </c>
      <c r="B65" s="4" t="s">
        <v>26</v>
      </c>
      <c r="C65" s="4" t="s">
        <v>27</v>
      </c>
      <c r="D65" s="4" t="s">
        <v>28</v>
      </c>
      <c r="E65" s="4" t="s">
        <v>30</v>
      </c>
      <c r="F65" s="1" t="s">
        <v>762</v>
      </c>
      <c r="G65" s="46" t="s">
        <v>757</v>
      </c>
      <c r="J65" s="4" t="s">
        <v>25</v>
      </c>
      <c r="K65" s="4" t="s">
        <v>26</v>
      </c>
      <c r="L65" s="4" t="s">
        <v>27</v>
      </c>
      <c r="M65" s="4" t="s">
        <v>28</v>
      </c>
      <c r="N65" s="4" t="s">
        <v>29</v>
      </c>
      <c r="O65" s="1" t="s">
        <v>764</v>
      </c>
      <c r="P65" s="46" t="s">
        <v>766</v>
      </c>
      <c r="T65" s="4" t="s">
        <v>25</v>
      </c>
      <c r="U65" s="4" t="s">
        <v>26</v>
      </c>
      <c r="V65" s="4" t="s">
        <v>27</v>
      </c>
      <c r="W65" s="4" t="s">
        <v>28</v>
      </c>
      <c r="X65" s="4" t="s">
        <v>29</v>
      </c>
      <c r="Y65" s="50" t="s">
        <v>764</v>
      </c>
      <c r="Z65" s="50" t="s">
        <v>766</v>
      </c>
      <c r="AB65" s="4" t="s">
        <v>25</v>
      </c>
      <c r="AC65" s="4" t="s">
        <v>26</v>
      </c>
      <c r="AD65" s="4" t="s">
        <v>27</v>
      </c>
      <c r="AE65" s="4" t="s">
        <v>28</v>
      </c>
      <c r="AF65" s="4" t="s">
        <v>29</v>
      </c>
      <c r="AG65" s="50" t="s">
        <v>763</v>
      </c>
      <c r="AI65" s="50" t="s">
        <v>765</v>
      </c>
    </row>
    <row r="66" spans="1:35">
      <c r="A66" s="30">
        <v>40</v>
      </c>
      <c r="B66" s="30">
        <v>0</v>
      </c>
      <c r="C66" s="30">
        <v>0</v>
      </c>
      <c r="D66" s="30" t="s">
        <v>283</v>
      </c>
      <c r="E66" s="30">
        <v>2.23</v>
      </c>
      <c r="F66">
        <v>2.04</v>
      </c>
      <c r="G66" s="46">
        <f>F66/E66*100</f>
        <v>91.479820627802695</v>
      </c>
      <c r="J66" s="30">
        <v>40</v>
      </c>
      <c r="K66" s="30">
        <v>0</v>
      </c>
      <c r="L66" s="30">
        <v>0</v>
      </c>
      <c r="M66" s="30" t="s">
        <v>294</v>
      </c>
      <c r="N66" s="30">
        <v>2.46</v>
      </c>
      <c r="O66" s="50">
        <v>2.2000000000000002</v>
      </c>
      <c r="P66" s="46">
        <f>O66/N66*100</f>
        <v>89.430894308943095</v>
      </c>
      <c r="Q66" s="47"/>
      <c r="T66" s="30">
        <v>400</v>
      </c>
      <c r="U66" s="30">
        <v>0</v>
      </c>
      <c r="V66" s="30">
        <v>0</v>
      </c>
      <c r="W66" s="30" t="s">
        <v>305</v>
      </c>
      <c r="X66" s="30">
        <v>29.34</v>
      </c>
      <c r="Y66" s="50">
        <v>25.87</v>
      </c>
      <c r="Z66" s="50">
        <f>Y66/X66*100</f>
        <v>88.173142467621005</v>
      </c>
      <c r="AB66" s="30">
        <v>400</v>
      </c>
      <c r="AC66" s="30">
        <v>0</v>
      </c>
      <c r="AD66" s="30">
        <v>0</v>
      </c>
      <c r="AE66" s="30" t="s">
        <v>307</v>
      </c>
      <c r="AF66" s="30">
        <v>33.61</v>
      </c>
      <c r="AG66" s="50">
        <v>30.9</v>
      </c>
      <c r="AI66" s="50">
        <v>88.173142470000002</v>
      </c>
    </row>
    <row r="67" spans="1:35">
      <c r="A67" s="30">
        <v>80</v>
      </c>
      <c r="B67" s="30">
        <v>0</v>
      </c>
      <c r="C67" s="30">
        <v>0</v>
      </c>
      <c r="D67" s="30" t="s">
        <v>284</v>
      </c>
      <c r="E67" s="30">
        <v>4.4000000000000004</v>
      </c>
      <c r="F67">
        <v>4.01</v>
      </c>
      <c r="G67" s="46">
        <f t="shared" ref="G67:G76" si="8">F67/E67*100</f>
        <v>91.136363636363626</v>
      </c>
      <c r="J67" s="30">
        <v>80</v>
      </c>
      <c r="K67" s="30">
        <v>0</v>
      </c>
      <c r="L67" s="30">
        <v>0</v>
      </c>
      <c r="M67" s="30" t="s">
        <v>295</v>
      </c>
      <c r="N67" s="30">
        <v>4.92</v>
      </c>
      <c r="O67" s="50">
        <v>4.4000000000000004</v>
      </c>
      <c r="P67" s="46">
        <f t="shared" ref="P67:P76" si="9">O67/N67*100</f>
        <v>89.430894308943095</v>
      </c>
      <c r="Q67" s="47"/>
      <c r="T67" s="30">
        <v>800</v>
      </c>
      <c r="U67" s="30">
        <v>0</v>
      </c>
      <c r="V67" s="30">
        <v>0</v>
      </c>
      <c r="W67" s="30" t="s">
        <v>306</v>
      </c>
      <c r="X67" s="30">
        <v>48.17</v>
      </c>
      <c r="Y67" s="50">
        <v>42.62</v>
      </c>
      <c r="Z67" s="50">
        <f>Y67/X67*100</f>
        <v>88.478305999584791</v>
      </c>
      <c r="AB67" s="30">
        <v>800</v>
      </c>
      <c r="AC67" s="30">
        <v>0</v>
      </c>
      <c r="AD67" s="30">
        <v>0</v>
      </c>
      <c r="AE67" s="30" t="s">
        <v>308</v>
      </c>
      <c r="AF67" s="30">
        <v>56.43</v>
      </c>
      <c r="AG67" s="50">
        <v>48.01</v>
      </c>
      <c r="AI67" s="50">
        <v>88.478306000000003</v>
      </c>
    </row>
    <row r="68" spans="1:35">
      <c r="A68" s="30">
        <v>100</v>
      </c>
      <c r="B68" s="30">
        <v>0</v>
      </c>
      <c r="C68" s="30">
        <v>0</v>
      </c>
      <c r="D68" s="30" t="s">
        <v>285</v>
      </c>
      <c r="E68" s="30">
        <v>8.67</v>
      </c>
      <c r="F68">
        <v>7.83</v>
      </c>
      <c r="G68" s="46">
        <f t="shared" si="8"/>
        <v>90.311418685121112</v>
      </c>
      <c r="J68" s="30">
        <v>100</v>
      </c>
      <c r="K68" s="30">
        <v>0</v>
      </c>
      <c r="L68" s="30">
        <v>0</v>
      </c>
      <c r="M68" s="30" t="s">
        <v>296</v>
      </c>
      <c r="N68" s="30">
        <v>9.75</v>
      </c>
      <c r="O68" s="50">
        <v>8.8000000000000007</v>
      </c>
      <c r="P68" s="46">
        <f t="shared" si="9"/>
        <v>90.256410256410263</v>
      </c>
      <c r="Q68" s="47"/>
    </row>
    <row r="69" spans="1:35">
      <c r="A69" s="30">
        <v>200</v>
      </c>
      <c r="B69" s="30">
        <v>0</v>
      </c>
      <c r="C69" s="30">
        <v>0</v>
      </c>
      <c r="D69" s="30" t="s">
        <v>286</v>
      </c>
      <c r="E69" s="30">
        <v>16.84</v>
      </c>
      <c r="F69">
        <v>15.65</v>
      </c>
      <c r="G69" s="46">
        <f t="shared" si="8"/>
        <v>92.933491686460812</v>
      </c>
      <c r="J69" s="30">
        <v>200</v>
      </c>
      <c r="K69" s="30">
        <v>0</v>
      </c>
      <c r="L69" s="30">
        <v>0</v>
      </c>
      <c r="M69" s="30" t="s">
        <v>297</v>
      </c>
      <c r="N69" s="30">
        <v>19.16</v>
      </c>
      <c r="O69" s="50">
        <v>17.600000000000001</v>
      </c>
      <c r="P69" s="46">
        <f t="shared" si="9"/>
        <v>91.858037578288105</v>
      </c>
      <c r="Q69" s="47"/>
    </row>
    <row r="70" spans="1:35">
      <c r="A70" s="30">
        <v>400</v>
      </c>
      <c r="B70" s="30">
        <v>0</v>
      </c>
      <c r="C70" s="30">
        <v>0</v>
      </c>
      <c r="D70" s="30" t="s">
        <v>287</v>
      </c>
      <c r="E70" s="30">
        <v>31.57</v>
      </c>
      <c r="F70">
        <v>29.26</v>
      </c>
      <c r="G70" s="46">
        <f t="shared" si="8"/>
        <v>92.682926829268297</v>
      </c>
      <c r="J70" s="30">
        <v>400</v>
      </c>
      <c r="K70" s="30">
        <v>0</v>
      </c>
      <c r="L70" s="30">
        <v>0</v>
      </c>
      <c r="M70" s="30" t="s">
        <v>298</v>
      </c>
      <c r="N70" s="30">
        <v>36.26</v>
      </c>
      <c r="O70" s="50">
        <v>33.21</v>
      </c>
      <c r="P70" s="46">
        <f t="shared" si="9"/>
        <v>91.588527302813034</v>
      </c>
      <c r="Q70" s="47"/>
    </row>
    <row r="71" spans="1:35">
      <c r="A71" s="30">
        <v>800</v>
      </c>
      <c r="B71" s="30">
        <v>0</v>
      </c>
      <c r="C71" s="30">
        <v>0</v>
      </c>
      <c r="D71" s="30" t="s">
        <v>288</v>
      </c>
      <c r="E71" s="30">
        <v>55.9</v>
      </c>
      <c r="F71">
        <v>49.66</v>
      </c>
      <c r="G71" s="46">
        <f t="shared" si="8"/>
        <v>88.837209302325576</v>
      </c>
      <c r="J71" s="30">
        <v>800</v>
      </c>
      <c r="K71" s="30">
        <v>0</v>
      </c>
      <c r="L71" s="30">
        <v>0</v>
      </c>
      <c r="M71" s="30" t="s">
        <v>299</v>
      </c>
      <c r="N71" s="30">
        <v>65.48</v>
      </c>
      <c r="O71" s="50">
        <v>55.78</v>
      </c>
      <c r="P71" s="46">
        <f t="shared" si="9"/>
        <v>85.186316432498472</v>
      </c>
      <c r="Q71" s="47"/>
      <c r="T71" s="51" t="s">
        <v>358</v>
      </c>
      <c r="U71" s="51"/>
      <c r="V71" s="51"/>
      <c r="W71" s="51"/>
      <c r="X71" s="51"/>
      <c r="Y71" s="30"/>
      <c r="AA71" s="30"/>
      <c r="AB71" s="51" t="s">
        <v>359</v>
      </c>
      <c r="AC71" s="51"/>
      <c r="AD71" s="51"/>
      <c r="AE71" s="51"/>
      <c r="AF71" s="51"/>
    </row>
    <row r="72" spans="1:35">
      <c r="A72" s="30">
        <v>1000</v>
      </c>
      <c r="B72" s="30">
        <v>0</v>
      </c>
      <c r="C72" s="30">
        <v>0</v>
      </c>
      <c r="D72" s="30" t="s">
        <v>289</v>
      </c>
      <c r="E72" s="30">
        <v>91.16</v>
      </c>
      <c r="F72">
        <v>82.24</v>
      </c>
      <c r="G72" s="46">
        <f t="shared" si="8"/>
        <v>90.215006581834132</v>
      </c>
      <c r="J72" s="30">
        <v>1000</v>
      </c>
      <c r="K72" s="30">
        <v>0</v>
      </c>
      <c r="L72" s="30">
        <v>0</v>
      </c>
      <c r="M72" s="30" t="s">
        <v>300</v>
      </c>
      <c r="N72" s="30">
        <v>111.6</v>
      </c>
      <c r="O72" s="50">
        <v>93.91</v>
      </c>
      <c r="P72" s="46">
        <f t="shared" si="9"/>
        <v>84.148745519713259</v>
      </c>
      <c r="Q72" s="47"/>
      <c r="T72" s="29" t="s">
        <v>25</v>
      </c>
      <c r="U72" s="29" t="s">
        <v>26</v>
      </c>
      <c r="V72" s="29" t="s">
        <v>27</v>
      </c>
      <c r="W72" s="29" t="s">
        <v>28</v>
      </c>
      <c r="X72" s="29" t="s">
        <v>29</v>
      </c>
      <c r="Y72" s="30"/>
      <c r="AA72" s="30"/>
      <c r="AB72" s="29" t="s">
        <v>25</v>
      </c>
      <c r="AC72" s="29" t="s">
        <v>26</v>
      </c>
      <c r="AD72" s="29" t="s">
        <v>27</v>
      </c>
      <c r="AE72" s="29" t="s">
        <v>28</v>
      </c>
      <c r="AF72" s="29" t="s">
        <v>29</v>
      </c>
    </row>
    <row r="73" spans="1:35">
      <c r="A73" s="30">
        <v>2000</v>
      </c>
      <c r="B73" s="30">
        <v>0</v>
      </c>
      <c r="C73" s="30">
        <v>0</v>
      </c>
      <c r="D73" s="30" t="s">
        <v>290</v>
      </c>
      <c r="E73" s="30">
        <v>128.16</v>
      </c>
      <c r="F73">
        <v>115.88</v>
      </c>
      <c r="G73" s="46">
        <f t="shared" si="8"/>
        <v>90.418227215980025</v>
      </c>
      <c r="J73" s="30">
        <v>2000</v>
      </c>
      <c r="K73" s="30">
        <v>0</v>
      </c>
      <c r="L73" s="30">
        <v>0</v>
      </c>
      <c r="M73" s="30" t="s">
        <v>301</v>
      </c>
      <c r="N73" s="30">
        <v>146.63999999999999</v>
      </c>
      <c r="O73" s="50">
        <v>133.21</v>
      </c>
      <c r="P73" s="46">
        <f t="shared" si="9"/>
        <v>90.841516639388999</v>
      </c>
      <c r="Q73" s="47"/>
      <c r="T73" s="30">
        <v>400</v>
      </c>
      <c r="U73" s="30">
        <v>0</v>
      </c>
      <c r="V73" s="30">
        <v>0</v>
      </c>
      <c r="W73" s="30" t="s">
        <v>408</v>
      </c>
      <c r="X73" s="30">
        <v>85.35</v>
      </c>
      <c r="AB73" s="30">
        <v>400</v>
      </c>
      <c r="AC73" s="30">
        <v>0</v>
      </c>
      <c r="AD73" s="30">
        <v>0</v>
      </c>
      <c r="AE73" s="30" t="s">
        <v>410</v>
      </c>
      <c r="AF73" s="30">
        <v>86.29</v>
      </c>
    </row>
    <row r="74" spans="1:35">
      <c r="A74" s="30">
        <v>4000</v>
      </c>
      <c r="B74" s="30">
        <v>0</v>
      </c>
      <c r="C74" s="30">
        <v>0</v>
      </c>
      <c r="D74" s="30" t="s">
        <v>291</v>
      </c>
      <c r="E74" s="30">
        <v>166.14</v>
      </c>
      <c r="F74">
        <v>150.6</v>
      </c>
      <c r="G74" s="46">
        <f t="shared" si="8"/>
        <v>90.646442759118813</v>
      </c>
      <c r="J74" s="30">
        <v>4000</v>
      </c>
      <c r="K74" s="30">
        <v>0</v>
      </c>
      <c r="L74" s="30">
        <v>0</v>
      </c>
      <c r="M74" s="30" t="s">
        <v>302</v>
      </c>
      <c r="N74" s="30">
        <v>177.11</v>
      </c>
      <c r="O74" s="50">
        <v>158.34</v>
      </c>
      <c r="P74" s="46">
        <f t="shared" si="9"/>
        <v>89.402066512336958</v>
      </c>
      <c r="Q74" s="47"/>
      <c r="T74" s="30">
        <v>800</v>
      </c>
      <c r="U74" s="30">
        <v>0</v>
      </c>
      <c r="V74" s="30">
        <v>0</v>
      </c>
      <c r="W74" s="30" t="s">
        <v>409</v>
      </c>
      <c r="X74" s="31">
        <v>126.73</v>
      </c>
      <c r="AB74" s="30">
        <v>800</v>
      </c>
      <c r="AC74" s="30">
        <v>0</v>
      </c>
      <c r="AD74" s="30">
        <v>0</v>
      </c>
      <c r="AE74" s="30" t="s">
        <v>411</v>
      </c>
      <c r="AF74" s="31">
        <v>125.71</v>
      </c>
    </row>
    <row r="75" spans="1:35">
      <c r="A75" s="30">
        <v>8000</v>
      </c>
      <c r="B75" s="30">
        <v>0</v>
      </c>
      <c r="C75" s="30">
        <v>0</v>
      </c>
      <c r="D75" s="30" t="s">
        <v>292</v>
      </c>
      <c r="E75" s="30">
        <v>198.88</v>
      </c>
      <c r="F75">
        <v>180.68</v>
      </c>
      <c r="G75" s="46">
        <f t="shared" si="8"/>
        <v>90.848753016894619</v>
      </c>
      <c r="J75" s="30">
        <v>8000</v>
      </c>
      <c r="K75" s="30">
        <v>0</v>
      </c>
      <c r="L75" s="30">
        <v>0</v>
      </c>
      <c r="M75" s="30" t="s">
        <v>303</v>
      </c>
      <c r="N75" s="30">
        <v>202.07</v>
      </c>
      <c r="O75" s="50">
        <v>181.15</v>
      </c>
      <c r="P75" s="46">
        <f t="shared" si="9"/>
        <v>89.647151977037666</v>
      </c>
      <c r="Q75" s="47"/>
    </row>
    <row r="76" spans="1:35">
      <c r="A76" s="30">
        <v>10000</v>
      </c>
      <c r="B76" s="30">
        <v>0</v>
      </c>
      <c r="C76" s="30">
        <v>0</v>
      </c>
      <c r="D76" s="30" t="s">
        <v>293</v>
      </c>
      <c r="E76" s="31">
        <v>216.42</v>
      </c>
      <c r="F76">
        <v>191.8</v>
      </c>
      <c r="G76" s="46">
        <f t="shared" si="8"/>
        <v>88.623971906478147</v>
      </c>
      <c r="H76" s="47"/>
      <c r="J76" s="30">
        <v>10000</v>
      </c>
      <c r="K76" s="30">
        <v>0</v>
      </c>
      <c r="L76" s="30">
        <v>0</v>
      </c>
      <c r="M76" s="30" t="s">
        <v>304</v>
      </c>
      <c r="N76" s="31">
        <v>220.03</v>
      </c>
      <c r="O76" s="50">
        <v>196.12</v>
      </c>
      <c r="P76" s="46">
        <f t="shared" si="9"/>
        <v>89.133300004544836</v>
      </c>
      <c r="Q76" s="50"/>
    </row>
    <row r="77" spans="1:35">
      <c r="A77"/>
      <c r="B77"/>
      <c r="C77"/>
      <c r="D77"/>
      <c r="E77"/>
      <c r="H77" s="47"/>
    </row>
    <row r="80" spans="1:35">
      <c r="A80" s="51" t="s">
        <v>412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</row>
    <row r="81" spans="1:33">
      <c r="A81" s="52"/>
      <c r="B81" s="52"/>
      <c r="C81" s="52"/>
      <c r="D81" s="52"/>
      <c r="E81" s="52"/>
      <c r="F81" s="6"/>
      <c r="J81" s="51"/>
      <c r="K81" s="51"/>
      <c r="L81" s="51"/>
      <c r="M81" s="51"/>
      <c r="N81" s="51"/>
      <c r="O81" s="6"/>
      <c r="T81" s="51"/>
      <c r="U81" s="51"/>
      <c r="V81" s="51"/>
      <c r="W81" s="51"/>
      <c r="X81" s="51"/>
      <c r="Y81" s="6"/>
      <c r="AA81" s="6"/>
      <c r="AB81" s="51"/>
      <c r="AC81" s="51"/>
      <c r="AD81" s="51"/>
      <c r="AE81" s="51"/>
      <c r="AF81" s="51"/>
      <c r="AG81" s="6"/>
    </row>
    <row r="82" spans="1:33">
      <c r="A82" s="5"/>
      <c r="B82" s="5"/>
      <c r="C82" s="5"/>
      <c r="D82" s="5"/>
      <c r="E82" s="5"/>
      <c r="F82" s="6"/>
      <c r="J82" s="5"/>
      <c r="K82" s="5"/>
      <c r="L82" s="5"/>
      <c r="M82" s="5"/>
      <c r="N82" s="5"/>
      <c r="O82" s="6"/>
      <c r="T82" s="5"/>
      <c r="U82" s="5"/>
      <c r="V82" s="5"/>
      <c r="W82" s="5"/>
      <c r="X82" s="5"/>
      <c r="Y82" s="6"/>
      <c r="AA82" s="6"/>
      <c r="AB82" s="5"/>
      <c r="AC82" s="5"/>
      <c r="AD82" s="5"/>
      <c r="AE82" s="5"/>
      <c r="AF82" s="5"/>
      <c r="AG82" s="6"/>
    </row>
    <row r="83" spans="1:33">
      <c r="A83"/>
      <c r="B83"/>
      <c r="C83"/>
      <c r="D83"/>
      <c r="E83"/>
      <c r="F83" s="6"/>
      <c r="J83"/>
      <c r="K83"/>
      <c r="L83"/>
      <c r="M83"/>
      <c r="N83"/>
      <c r="O83" s="6"/>
      <c r="T83"/>
      <c r="U83"/>
      <c r="V83"/>
      <c r="W83"/>
      <c r="X83"/>
      <c r="Y83" s="6"/>
      <c r="AA83" s="6"/>
      <c r="AB83"/>
      <c r="AC83"/>
      <c r="AD83"/>
      <c r="AE83"/>
      <c r="AF83"/>
      <c r="AG83" s="6"/>
    </row>
    <row r="84" spans="1:33">
      <c r="A84"/>
      <c r="B84"/>
      <c r="C84"/>
      <c r="D84"/>
      <c r="E84"/>
      <c r="F84" s="6"/>
      <c r="J84"/>
      <c r="K84"/>
      <c r="L84"/>
      <c r="M84"/>
      <c r="N84"/>
      <c r="O84" s="6"/>
      <c r="T84"/>
      <c r="U84"/>
      <c r="V84"/>
      <c r="W84"/>
      <c r="X84"/>
      <c r="Y84" s="6"/>
      <c r="AA84" s="6"/>
      <c r="AB84"/>
      <c r="AC84"/>
      <c r="AD84"/>
      <c r="AE84"/>
      <c r="AF84"/>
      <c r="AG84" s="6"/>
    </row>
    <row r="85" spans="1:33">
      <c r="A85"/>
      <c r="B85"/>
      <c r="C85"/>
      <c r="D85"/>
      <c r="E85"/>
      <c r="F85" s="6"/>
      <c r="J85"/>
      <c r="K85"/>
      <c r="L85"/>
      <c r="M85"/>
      <c r="N85"/>
      <c r="O85" s="6"/>
      <c r="T85" s="6"/>
      <c r="U85" s="6"/>
      <c r="V85" s="6"/>
      <c r="W85" s="6"/>
      <c r="X85" s="6"/>
      <c r="Y85" s="6"/>
      <c r="AA85" s="6"/>
      <c r="AB85" s="6"/>
      <c r="AC85" s="6"/>
      <c r="AD85" s="6"/>
      <c r="AE85" s="6"/>
      <c r="AF85" s="6"/>
      <c r="AG85" s="6"/>
    </row>
    <row r="86" spans="1:33">
      <c r="A86"/>
      <c r="B86"/>
      <c r="C86"/>
      <c r="D86"/>
      <c r="E86"/>
      <c r="F86" s="6"/>
      <c r="J86"/>
      <c r="K86"/>
      <c r="L86"/>
      <c r="M86"/>
      <c r="N86"/>
      <c r="O86" s="6"/>
      <c r="T86" s="6"/>
      <c r="U86" s="6"/>
      <c r="V86" s="6"/>
      <c r="W86" s="6"/>
      <c r="X86" s="6"/>
      <c r="Y86" s="6"/>
      <c r="AA86" s="6"/>
      <c r="AB86" s="6"/>
      <c r="AC86" s="6"/>
      <c r="AD86" s="6"/>
      <c r="AE86" s="6"/>
      <c r="AF86" s="6"/>
      <c r="AG86" s="6"/>
    </row>
    <row r="87" spans="1:33">
      <c r="A87"/>
      <c r="B87"/>
      <c r="C87"/>
      <c r="D87"/>
      <c r="E87"/>
      <c r="F87" s="6"/>
      <c r="J87"/>
      <c r="K87"/>
      <c r="L87"/>
      <c r="M87"/>
      <c r="N87"/>
      <c r="O87" s="6"/>
      <c r="T87" s="6"/>
      <c r="U87" s="6"/>
      <c r="V87" s="6"/>
      <c r="W87" s="6"/>
      <c r="X87" s="6"/>
      <c r="Y87" s="6"/>
      <c r="AA87" s="6"/>
      <c r="AB87" s="6"/>
      <c r="AC87" s="6"/>
      <c r="AD87" s="6"/>
      <c r="AE87" s="6"/>
      <c r="AF87" s="6"/>
      <c r="AG87" s="6"/>
    </row>
    <row r="88" spans="1:33">
      <c r="A88"/>
      <c r="B88"/>
      <c r="C88"/>
      <c r="D88"/>
      <c r="E88"/>
      <c r="F88" s="6"/>
      <c r="J88"/>
      <c r="K88"/>
      <c r="L88"/>
      <c r="M88"/>
      <c r="N88"/>
      <c r="O88" s="6"/>
      <c r="T88" s="6"/>
      <c r="U88" s="6"/>
      <c r="V88" s="6"/>
      <c r="W88" s="6"/>
      <c r="X88" s="6"/>
      <c r="Y88" s="6"/>
      <c r="AA88" s="6"/>
      <c r="AB88" s="6"/>
      <c r="AC88" s="6"/>
      <c r="AD88" s="6"/>
      <c r="AE88" s="6"/>
      <c r="AF88" s="6"/>
      <c r="AG88" s="6"/>
    </row>
    <row r="89" spans="1:33">
      <c r="A89"/>
      <c r="B89"/>
      <c r="C89"/>
      <c r="D89"/>
      <c r="E89"/>
      <c r="F89" s="6"/>
      <c r="J89"/>
      <c r="K89"/>
      <c r="L89"/>
      <c r="M89"/>
      <c r="N89"/>
      <c r="O89" s="6"/>
      <c r="T89" s="6"/>
      <c r="U89" s="6"/>
      <c r="V89" s="6"/>
      <c r="W89" s="6"/>
      <c r="X89" s="6"/>
      <c r="Y89" s="6"/>
      <c r="AA89" s="6"/>
      <c r="AB89" s="6"/>
      <c r="AC89" s="6"/>
      <c r="AD89" s="6"/>
      <c r="AE89" s="6"/>
      <c r="AF89" s="6"/>
      <c r="AG89" s="6"/>
    </row>
    <row r="90" spans="1:33">
      <c r="A90"/>
      <c r="B90"/>
      <c r="C90"/>
      <c r="D90"/>
      <c r="E90"/>
      <c r="F90" s="6"/>
      <c r="H90" s="46">
        <v>3.5</v>
      </c>
      <c r="J90"/>
      <c r="K90"/>
      <c r="L90"/>
      <c r="M90"/>
      <c r="N90"/>
      <c r="O90" s="6"/>
      <c r="T90" s="6"/>
      <c r="U90" s="6"/>
      <c r="V90" s="6"/>
      <c r="W90" s="6"/>
      <c r="X90" s="6"/>
      <c r="Y90" s="6"/>
      <c r="AA90" s="6"/>
      <c r="AB90" s="6"/>
      <c r="AC90" s="6"/>
      <c r="AD90" s="6"/>
      <c r="AE90" s="6"/>
      <c r="AF90" s="6"/>
      <c r="AG90" s="6"/>
    </row>
    <row r="91" spans="1:33">
      <c r="A91"/>
      <c r="B91"/>
      <c r="C91"/>
      <c r="D91"/>
      <c r="E91" s="30"/>
      <c r="F91"/>
      <c r="G91"/>
      <c r="H91"/>
      <c r="J91"/>
      <c r="K91" s="30"/>
      <c r="L91"/>
      <c r="M91" s="30"/>
      <c r="N91"/>
      <c r="O91" s="30"/>
      <c r="R91"/>
      <c r="S91"/>
      <c r="T91" s="30"/>
      <c r="U91"/>
      <c r="V91" s="6"/>
      <c r="W91" s="6"/>
      <c r="X91" s="6"/>
      <c r="Y91" s="6"/>
      <c r="AA91" s="6"/>
      <c r="AB91" s="6"/>
      <c r="AC91" s="6"/>
      <c r="AD91" s="6"/>
      <c r="AE91" s="6"/>
      <c r="AF91" s="6"/>
      <c r="AG91" s="6"/>
    </row>
    <row r="92" spans="1:33">
      <c r="A92"/>
      <c r="B92"/>
      <c r="C92"/>
      <c r="D92"/>
      <c r="E92" s="30"/>
      <c r="F92"/>
      <c r="G92"/>
      <c r="H92"/>
      <c r="J92"/>
      <c r="K92" s="30"/>
      <c r="L92"/>
      <c r="M92" s="30"/>
      <c r="N92"/>
      <c r="O92" s="30"/>
      <c r="R92"/>
      <c r="S92"/>
      <c r="T92" s="30"/>
      <c r="U92"/>
      <c r="V92" s="6"/>
      <c r="W92" s="6"/>
      <c r="X92" s="6"/>
      <c r="Y92" s="6"/>
      <c r="AA92" s="6"/>
      <c r="AB92" s="6"/>
      <c r="AC92" s="6"/>
      <c r="AD92" s="6"/>
      <c r="AE92" s="6"/>
      <c r="AF92" s="6"/>
      <c r="AG92" s="6"/>
    </row>
    <row r="93" spans="1:33">
      <c r="A93"/>
      <c r="B93"/>
      <c r="C93"/>
      <c r="D93"/>
      <c r="E93" s="30"/>
      <c r="F93"/>
      <c r="G93"/>
      <c r="H93"/>
      <c r="J93"/>
      <c r="K93" s="30"/>
      <c r="L93"/>
      <c r="M93" s="30"/>
      <c r="N93"/>
      <c r="O93" s="30"/>
      <c r="R93"/>
      <c r="S93"/>
      <c r="T93" s="30"/>
      <c r="U93"/>
      <c r="V93" s="6"/>
      <c r="W93" s="6"/>
      <c r="X93" s="6"/>
      <c r="Y93" s="6"/>
      <c r="AA93" s="6"/>
      <c r="AB93" s="6"/>
      <c r="AC93" s="6"/>
      <c r="AD93" s="6"/>
      <c r="AE93" s="6"/>
      <c r="AF93" s="6"/>
      <c r="AG93" s="6"/>
    </row>
    <row r="94" spans="1:33">
      <c r="D94"/>
      <c r="E94" s="30"/>
      <c r="F94"/>
      <c r="G94"/>
      <c r="H94"/>
      <c r="J94"/>
      <c r="K94" s="30"/>
      <c r="L94"/>
      <c r="M94" s="30"/>
      <c r="N94"/>
      <c r="O94" s="30"/>
      <c r="R94"/>
      <c r="S94"/>
      <c r="T94" s="30"/>
      <c r="U94"/>
    </row>
    <row r="95" spans="1:33">
      <c r="D95"/>
      <c r="E95" s="30"/>
      <c r="F95"/>
      <c r="G95"/>
      <c r="H95"/>
      <c r="J95"/>
      <c r="K95" s="30"/>
      <c r="L95"/>
      <c r="M95" s="30"/>
      <c r="N95"/>
      <c r="O95" s="30"/>
      <c r="R95"/>
      <c r="S95"/>
      <c r="T95" s="30"/>
      <c r="U95"/>
    </row>
    <row r="96" spans="1:33">
      <c r="D96"/>
      <c r="E96" s="30"/>
      <c r="F96"/>
      <c r="G96"/>
      <c r="H96"/>
      <c r="J96"/>
      <c r="K96" s="30"/>
      <c r="L96"/>
      <c r="M96" s="30"/>
      <c r="N96"/>
      <c r="O96" s="30"/>
      <c r="R96"/>
      <c r="S96"/>
      <c r="T96" s="30"/>
      <c r="U96"/>
    </row>
    <row r="97" spans="4:21">
      <c r="D97"/>
      <c r="E97" s="30"/>
      <c r="F97"/>
      <c r="G97"/>
      <c r="H97"/>
      <c r="J97"/>
      <c r="K97" s="30"/>
      <c r="L97"/>
      <c r="M97" s="30"/>
      <c r="N97"/>
      <c r="O97" s="30"/>
      <c r="R97"/>
      <c r="S97"/>
      <c r="T97" s="30"/>
      <c r="U97"/>
    </row>
    <row r="98" spans="4:21">
      <c r="D98"/>
      <c r="E98" s="30"/>
      <c r="F98"/>
      <c r="G98"/>
      <c r="H98"/>
      <c r="J98"/>
      <c r="K98" s="30"/>
      <c r="L98"/>
      <c r="M98" s="30"/>
      <c r="N98"/>
      <c r="O98" s="30"/>
      <c r="R98"/>
      <c r="S98"/>
      <c r="T98" s="30"/>
      <c r="U98"/>
    </row>
  </sheetData>
  <mergeCells count="18">
    <mergeCell ref="A1:E1"/>
    <mergeCell ref="J1:N1"/>
    <mergeCell ref="AJ1:AN1"/>
    <mergeCell ref="AR1:AV1"/>
    <mergeCell ref="A63:AG63"/>
    <mergeCell ref="T1:X1"/>
    <mergeCell ref="AB1:AF1"/>
    <mergeCell ref="A80:AG80"/>
    <mergeCell ref="A81:E81"/>
    <mergeCell ref="J81:N81"/>
    <mergeCell ref="T81:X81"/>
    <mergeCell ref="AB81:AF81"/>
    <mergeCell ref="T71:X71"/>
    <mergeCell ref="AB71:AF71"/>
    <mergeCell ref="A64:E64"/>
    <mergeCell ref="J64:N64"/>
    <mergeCell ref="T64:X64"/>
    <mergeCell ref="AB64:AF64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B1:AQ97"/>
  <sheetViews>
    <sheetView workbookViewId="0">
      <selection activeCell="M15" sqref="M15"/>
    </sheetView>
  </sheetViews>
  <sheetFormatPr defaultRowHeight="14.25"/>
  <cols>
    <col min="5" max="5" width="13.375" customWidth="1"/>
    <col min="6" max="6" width="11.625" customWidth="1"/>
    <col min="14" max="14" width="15.25" customWidth="1"/>
    <col min="21" max="21" width="12.875" customWidth="1"/>
    <col min="22" max="22" width="14.625" customWidth="1"/>
    <col min="32" max="32" width="14.625" customWidth="1"/>
    <col min="41" max="41" width="11.5" customWidth="1"/>
  </cols>
  <sheetData>
    <row r="1" spans="2:43">
      <c r="B1" s="52" t="s">
        <v>475</v>
      </c>
      <c r="C1" s="52"/>
      <c r="D1" s="52"/>
      <c r="E1" s="52"/>
      <c r="F1" s="52"/>
      <c r="J1" s="52" t="s">
        <v>479</v>
      </c>
      <c r="K1" s="52"/>
      <c r="L1" s="52"/>
      <c r="M1" s="52"/>
      <c r="N1" s="52"/>
      <c r="R1" s="52" t="s">
        <v>476</v>
      </c>
      <c r="S1" s="52"/>
      <c r="T1" s="52"/>
      <c r="U1" s="52"/>
      <c r="V1" s="52"/>
      <c r="AB1" s="52" t="s">
        <v>480</v>
      </c>
      <c r="AC1" s="52"/>
      <c r="AD1" s="52"/>
      <c r="AE1" s="52"/>
      <c r="AF1" s="52"/>
      <c r="AK1" s="52" t="s">
        <v>588</v>
      </c>
      <c r="AL1" s="52"/>
      <c r="AM1" s="52"/>
      <c r="AN1" s="52"/>
      <c r="AO1" s="52"/>
    </row>
    <row r="2" spans="2:43">
      <c r="B2" s="33" t="s">
        <v>25</v>
      </c>
      <c r="C2" s="33" t="s">
        <v>26</v>
      </c>
      <c r="D2" s="33" t="s">
        <v>27</v>
      </c>
      <c r="E2" s="33" t="s">
        <v>28</v>
      </c>
      <c r="F2" s="33" t="s">
        <v>478</v>
      </c>
      <c r="G2" s="45" t="s">
        <v>762</v>
      </c>
      <c r="H2" s="45" t="s">
        <v>757</v>
      </c>
      <c r="I2" s="48"/>
      <c r="J2" s="33" t="s">
        <v>25</v>
      </c>
      <c r="K2" s="33" t="s">
        <v>26</v>
      </c>
      <c r="L2" s="33" t="s">
        <v>27</v>
      </c>
      <c r="M2" s="33" t="s">
        <v>28</v>
      </c>
      <c r="N2" s="33" t="s">
        <v>478</v>
      </c>
      <c r="O2" s="49" t="s">
        <v>767</v>
      </c>
      <c r="P2" s="45" t="s">
        <v>757</v>
      </c>
      <c r="R2" s="33" t="s">
        <v>25</v>
      </c>
      <c r="S2" s="33" t="s">
        <v>26</v>
      </c>
      <c r="T2" s="33" t="s">
        <v>27</v>
      </c>
      <c r="U2" s="33" t="s">
        <v>28</v>
      </c>
      <c r="V2" s="33" t="s">
        <v>478</v>
      </c>
      <c r="W2" s="48" t="s">
        <v>762</v>
      </c>
      <c r="X2" s="45" t="s">
        <v>757</v>
      </c>
      <c r="AB2" s="33" t="s">
        <v>25</v>
      </c>
      <c r="AC2" s="33" t="s">
        <v>26</v>
      </c>
      <c r="AD2" s="33" t="s">
        <v>27</v>
      </c>
      <c r="AE2" s="33" t="s">
        <v>28</v>
      </c>
      <c r="AF2" s="33" t="s">
        <v>478</v>
      </c>
      <c r="AG2" s="49" t="s">
        <v>767</v>
      </c>
      <c r="AH2" s="45" t="s">
        <v>757</v>
      </c>
      <c r="AI2" s="45"/>
      <c r="AK2" s="33" t="s">
        <v>25</v>
      </c>
      <c r="AL2" s="33" t="s">
        <v>26</v>
      </c>
      <c r="AM2" s="33" t="s">
        <v>27</v>
      </c>
      <c r="AN2" s="33" t="s">
        <v>28</v>
      </c>
      <c r="AO2" s="33" t="s">
        <v>478</v>
      </c>
      <c r="AP2" s="45" t="s">
        <v>762</v>
      </c>
      <c r="AQ2" s="45" t="s">
        <v>759</v>
      </c>
    </row>
    <row r="3" spans="2:43">
      <c r="B3" s="42">
        <v>40</v>
      </c>
      <c r="C3" s="42">
        <v>40</v>
      </c>
      <c r="D3" s="42" t="s">
        <v>0</v>
      </c>
      <c r="E3" s="42" t="s">
        <v>413</v>
      </c>
      <c r="F3" s="42">
        <v>11.27</v>
      </c>
      <c r="G3">
        <v>10.01</v>
      </c>
      <c r="H3">
        <f>G3/F3*100</f>
        <v>88.81987577639751</v>
      </c>
      <c r="J3" s="32">
        <v>400</v>
      </c>
      <c r="K3" s="32">
        <v>40</v>
      </c>
      <c r="L3" s="32" t="s">
        <v>0</v>
      </c>
      <c r="M3" s="32" t="s">
        <v>463</v>
      </c>
      <c r="N3" s="32">
        <v>91.17</v>
      </c>
      <c r="O3">
        <v>72.650000000000006</v>
      </c>
      <c r="P3">
        <f>O3/N3*100</f>
        <v>79.686300318087106</v>
      </c>
      <c r="R3">
        <v>40</v>
      </c>
      <c r="S3">
        <v>0</v>
      </c>
      <c r="T3">
        <v>0</v>
      </c>
      <c r="U3" t="s">
        <v>465</v>
      </c>
      <c r="V3">
        <v>24.84</v>
      </c>
      <c r="W3">
        <v>22.29</v>
      </c>
      <c r="X3">
        <f>W3/V3*100</f>
        <v>89.734299516908209</v>
      </c>
      <c r="AB3">
        <v>400</v>
      </c>
      <c r="AC3">
        <v>0</v>
      </c>
      <c r="AD3">
        <v>0</v>
      </c>
      <c r="AE3" t="s">
        <v>481</v>
      </c>
      <c r="AF3">
        <v>89.99</v>
      </c>
      <c r="AG3">
        <v>76.87</v>
      </c>
      <c r="AH3">
        <f>AG3/AF3*100</f>
        <v>85.420602289143247</v>
      </c>
      <c r="AK3" s="42">
        <v>800</v>
      </c>
      <c r="AL3" s="42">
        <v>40</v>
      </c>
      <c r="AM3" s="42" t="s">
        <v>23</v>
      </c>
      <c r="AN3" s="42" t="s">
        <v>483</v>
      </c>
      <c r="AO3" s="42">
        <v>100.47</v>
      </c>
      <c r="AP3">
        <v>101.6</v>
      </c>
      <c r="AQ3">
        <f>AP3/AO3*100</f>
        <v>101.12471384492882</v>
      </c>
    </row>
    <row r="4" spans="2:43">
      <c r="B4" s="32">
        <v>80</v>
      </c>
      <c r="C4" s="32">
        <v>40</v>
      </c>
      <c r="D4" s="32" t="s">
        <v>0</v>
      </c>
      <c r="E4" s="32" t="s">
        <v>414</v>
      </c>
      <c r="F4" s="32">
        <v>22.14</v>
      </c>
      <c r="G4">
        <v>19.53</v>
      </c>
      <c r="H4">
        <f t="shared" ref="H4:H52" si="0">G4/F4*100</f>
        <v>88.211382113821145</v>
      </c>
      <c r="J4" s="32">
        <v>800</v>
      </c>
      <c r="K4" s="32">
        <v>40</v>
      </c>
      <c r="L4" s="32" t="s">
        <v>0</v>
      </c>
      <c r="M4" s="32" t="s">
        <v>464</v>
      </c>
      <c r="N4" s="34">
        <v>133.22</v>
      </c>
      <c r="O4">
        <v>110.28</v>
      </c>
      <c r="P4">
        <f>O4/N4*100</f>
        <v>82.780363308812483</v>
      </c>
      <c r="R4">
        <v>80</v>
      </c>
      <c r="S4">
        <v>0</v>
      </c>
      <c r="T4">
        <v>0</v>
      </c>
      <c r="U4" t="s">
        <v>466</v>
      </c>
      <c r="V4">
        <v>99.49</v>
      </c>
      <c r="W4">
        <v>88.15</v>
      </c>
      <c r="X4">
        <f t="shared" ref="X4:X13" si="1">W4/V4*100</f>
        <v>88.601869534626616</v>
      </c>
      <c r="AB4">
        <v>800</v>
      </c>
      <c r="AC4">
        <v>0</v>
      </c>
      <c r="AD4">
        <v>0</v>
      </c>
      <c r="AE4" t="s">
        <v>482</v>
      </c>
      <c r="AF4" s="38">
        <v>137.62</v>
      </c>
      <c r="AG4">
        <v>118.99</v>
      </c>
      <c r="AH4">
        <f>AG4/AF4*100</f>
        <v>86.462723441360254</v>
      </c>
      <c r="AK4" s="32">
        <v>800</v>
      </c>
      <c r="AL4" s="32" t="s">
        <v>5</v>
      </c>
      <c r="AM4" s="32">
        <v>1740</v>
      </c>
      <c r="AN4" s="32" t="s">
        <v>484</v>
      </c>
      <c r="AO4" s="32">
        <v>187.54</v>
      </c>
      <c r="AP4">
        <v>169.13</v>
      </c>
      <c r="AQ4">
        <f t="shared" ref="AQ4:AQ67" si="2">AP4/AO4*100</f>
        <v>90.183427535459103</v>
      </c>
    </row>
    <row r="5" spans="2:43">
      <c r="B5" s="32">
        <v>80</v>
      </c>
      <c r="C5" s="32">
        <v>80</v>
      </c>
      <c r="D5" s="32" t="s">
        <v>1</v>
      </c>
      <c r="E5" s="32" t="s">
        <v>415</v>
      </c>
      <c r="F5" s="32">
        <v>22.5</v>
      </c>
      <c r="G5">
        <v>19.88</v>
      </c>
      <c r="H5">
        <f t="shared" si="0"/>
        <v>88.355555555555554</v>
      </c>
      <c r="J5" s="32"/>
      <c r="K5" s="32"/>
      <c r="L5" s="32"/>
      <c r="M5" s="32"/>
      <c r="N5" s="32"/>
      <c r="R5">
        <v>100</v>
      </c>
      <c r="S5">
        <v>0</v>
      </c>
      <c r="T5">
        <v>0</v>
      </c>
      <c r="U5" t="s">
        <v>467</v>
      </c>
      <c r="V5">
        <v>198.52</v>
      </c>
      <c r="W5">
        <v>176.93</v>
      </c>
      <c r="X5">
        <f t="shared" si="1"/>
        <v>89.124521458795087</v>
      </c>
      <c r="AK5" s="32">
        <v>800</v>
      </c>
      <c r="AL5" s="32">
        <v>140</v>
      </c>
      <c r="AM5" s="32" t="s">
        <v>485</v>
      </c>
      <c r="AN5" s="32" t="s">
        <v>486</v>
      </c>
      <c r="AO5" s="32">
        <v>199.21</v>
      </c>
      <c r="AP5">
        <v>173.73</v>
      </c>
      <c r="AQ5">
        <f t="shared" si="2"/>
        <v>87.20947743587169</v>
      </c>
    </row>
    <row r="6" spans="2:43">
      <c r="B6" s="32">
        <v>100</v>
      </c>
      <c r="C6" s="32">
        <v>40</v>
      </c>
      <c r="D6" s="32" t="s">
        <v>0</v>
      </c>
      <c r="E6" s="32" t="s">
        <v>416</v>
      </c>
      <c r="F6" s="32">
        <v>42.54</v>
      </c>
      <c r="G6">
        <v>37.14</v>
      </c>
      <c r="H6">
        <f t="shared" si="0"/>
        <v>87.306064880112842</v>
      </c>
      <c r="R6">
        <v>200</v>
      </c>
      <c r="S6">
        <v>0</v>
      </c>
      <c r="T6">
        <v>0</v>
      </c>
      <c r="U6" t="s">
        <v>468</v>
      </c>
      <c r="V6" s="38">
        <v>282.70999999999998</v>
      </c>
      <c r="W6">
        <v>270.63</v>
      </c>
      <c r="X6">
        <f t="shared" si="1"/>
        <v>95.727070142548911</v>
      </c>
      <c r="AK6" s="32">
        <v>800</v>
      </c>
      <c r="AL6" s="32" t="s">
        <v>9</v>
      </c>
      <c r="AM6" s="32">
        <v>3640</v>
      </c>
      <c r="AN6" s="32" t="s">
        <v>487</v>
      </c>
      <c r="AO6" s="32">
        <v>172.58</v>
      </c>
      <c r="AP6">
        <v>162.41999999999999</v>
      </c>
      <c r="AQ6">
        <f t="shared" si="2"/>
        <v>94.112875188318441</v>
      </c>
    </row>
    <row r="7" spans="2:43">
      <c r="B7" s="32">
        <v>100</v>
      </c>
      <c r="C7" s="32">
        <v>80</v>
      </c>
      <c r="D7" s="32" t="s">
        <v>1</v>
      </c>
      <c r="E7" s="32" t="s">
        <v>417</v>
      </c>
      <c r="F7" s="32">
        <v>44.49</v>
      </c>
      <c r="G7">
        <v>39.119999999999997</v>
      </c>
      <c r="H7">
        <f t="shared" si="0"/>
        <v>87.929871881321631</v>
      </c>
      <c r="R7">
        <v>400</v>
      </c>
      <c r="S7">
        <v>0</v>
      </c>
      <c r="T7">
        <v>0</v>
      </c>
      <c r="U7" t="s">
        <v>469</v>
      </c>
      <c r="V7">
        <v>261.97000000000003</v>
      </c>
      <c r="W7">
        <v>248.67</v>
      </c>
      <c r="X7">
        <f t="shared" si="1"/>
        <v>94.923082795739958</v>
      </c>
      <c r="AK7" s="32">
        <v>800</v>
      </c>
      <c r="AL7" s="32">
        <v>240</v>
      </c>
      <c r="AM7" s="32" t="s">
        <v>488</v>
      </c>
      <c r="AN7" s="32" t="s">
        <v>489</v>
      </c>
      <c r="AO7" s="32">
        <v>181.42</v>
      </c>
      <c r="AP7">
        <v>166.76</v>
      </c>
      <c r="AQ7">
        <f t="shared" si="2"/>
        <v>91.919303274170431</v>
      </c>
    </row>
    <row r="8" spans="2:43">
      <c r="B8" s="32">
        <v>100</v>
      </c>
      <c r="C8" s="32">
        <v>100</v>
      </c>
      <c r="D8" s="32" t="s">
        <v>2</v>
      </c>
      <c r="E8" s="32" t="s">
        <v>418</v>
      </c>
      <c r="F8" s="32">
        <v>44.46</v>
      </c>
      <c r="G8">
        <v>39.119999999999997</v>
      </c>
      <c r="H8">
        <f t="shared" si="0"/>
        <v>87.989203778677464</v>
      </c>
      <c r="R8">
        <v>800</v>
      </c>
      <c r="S8">
        <v>0</v>
      </c>
      <c r="T8">
        <v>0</v>
      </c>
      <c r="U8" t="s">
        <v>470</v>
      </c>
      <c r="V8">
        <v>257.35000000000002</v>
      </c>
      <c r="W8">
        <v>243.9</v>
      </c>
      <c r="X8">
        <f t="shared" si="1"/>
        <v>94.773654556052065</v>
      </c>
      <c r="AK8" s="32">
        <v>800</v>
      </c>
      <c r="AL8" s="32" t="s">
        <v>13</v>
      </c>
      <c r="AM8" s="32">
        <v>5540</v>
      </c>
      <c r="AN8" s="32" t="s">
        <v>490</v>
      </c>
      <c r="AO8" s="32">
        <v>200.14</v>
      </c>
      <c r="AP8">
        <v>174.14</v>
      </c>
      <c r="AQ8">
        <f t="shared" si="2"/>
        <v>87.00909363445588</v>
      </c>
    </row>
    <row r="9" spans="2:43">
      <c r="B9" s="42">
        <v>200</v>
      </c>
      <c r="C9" s="42">
        <v>40</v>
      </c>
      <c r="D9" s="42" t="s">
        <v>0</v>
      </c>
      <c r="E9" s="42" t="s">
        <v>419</v>
      </c>
      <c r="F9" s="42">
        <v>71.010000000000005</v>
      </c>
      <c r="G9">
        <v>63.46</v>
      </c>
      <c r="H9">
        <f t="shared" si="0"/>
        <v>89.367694690888598</v>
      </c>
      <c r="R9">
        <v>1000</v>
      </c>
      <c r="S9">
        <v>0</v>
      </c>
      <c r="T9">
        <v>0</v>
      </c>
      <c r="U9" t="s">
        <v>471</v>
      </c>
      <c r="V9">
        <v>257.5</v>
      </c>
      <c r="W9">
        <v>246.98</v>
      </c>
      <c r="X9">
        <f t="shared" si="1"/>
        <v>95.914563106796109</v>
      </c>
      <c r="AK9" s="32">
        <v>800</v>
      </c>
      <c r="AL9" s="32">
        <v>340</v>
      </c>
      <c r="AM9" s="32" t="s">
        <v>491</v>
      </c>
      <c r="AN9" s="32" t="s">
        <v>492</v>
      </c>
      <c r="AO9" s="32">
        <v>198.19</v>
      </c>
      <c r="AP9">
        <v>173.64</v>
      </c>
      <c r="AQ9">
        <f t="shared" si="2"/>
        <v>87.612896715273209</v>
      </c>
    </row>
    <row r="10" spans="2:43">
      <c r="B10" s="32">
        <v>200</v>
      </c>
      <c r="C10" s="32">
        <v>80</v>
      </c>
      <c r="D10" s="32" t="s">
        <v>1</v>
      </c>
      <c r="E10" s="32" t="s">
        <v>420</v>
      </c>
      <c r="F10" s="32">
        <v>85.61</v>
      </c>
      <c r="G10">
        <v>74.459999999999994</v>
      </c>
      <c r="H10">
        <f t="shared" si="0"/>
        <v>86.975820581707737</v>
      </c>
      <c r="R10">
        <v>2000</v>
      </c>
      <c r="S10">
        <v>0</v>
      </c>
      <c r="T10">
        <v>0</v>
      </c>
      <c r="U10" t="s">
        <v>472</v>
      </c>
      <c r="V10">
        <v>259.07</v>
      </c>
      <c r="W10">
        <v>248.65</v>
      </c>
      <c r="X10">
        <f t="shared" si="1"/>
        <v>95.977921025205546</v>
      </c>
      <c r="AK10" s="32">
        <v>800</v>
      </c>
      <c r="AL10" s="32" t="s">
        <v>15</v>
      </c>
      <c r="AM10" s="32">
        <v>7440</v>
      </c>
      <c r="AN10" s="32" t="s">
        <v>493</v>
      </c>
      <c r="AO10" s="32">
        <v>195.14</v>
      </c>
      <c r="AP10">
        <v>171.67</v>
      </c>
      <c r="AQ10">
        <f t="shared" si="2"/>
        <v>87.972737521779237</v>
      </c>
    </row>
    <row r="11" spans="2:43">
      <c r="B11" s="32">
        <v>200</v>
      </c>
      <c r="C11" s="32">
        <v>100</v>
      </c>
      <c r="D11" s="32" t="s">
        <v>2</v>
      </c>
      <c r="E11" s="32" t="s">
        <v>421</v>
      </c>
      <c r="F11" s="32">
        <v>83.67</v>
      </c>
      <c r="G11">
        <v>68.52</v>
      </c>
      <c r="H11">
        <f t="shared" si="0"/>
        <v>81.893151667264235</v>
      </c>
      <c r="R11">
        <v>4000</v>
      </c>
      <c r="S11">
        <v>0</v>
      </c>
      <c r="T11">
        <v>0</v>
      </c>
      <c r="U11" t="s">
        <v>473</v>
      </c>
      <c r="V11">
        <v>259.12</v>
      </c>
      <c r="W11">
        <v>247.94</v>
      </c>
      <c r="X11">
        <f t="shared" si="1"/>
        <v>95.685396727384997</v>
      </c>
      <c r="AK11" s="32">
        <v>800</v>
      </c>
      <c r="AL11" s="32">
        <v>440</v>
      </c>
      <c r="AM11" s="32" t="s">
        <v>494</v>
      </c>
      <c r="AN11" s="32" t="s">
        <v>495</v>
      </c>
      <c r="AO11" s="32">
        <v>194.58</v>
      </c>
      <c r="AP11">
        <v>171.19</v>
      </c>
      <c r="AQ11">
        <f t="shared" si="2"/>
        <v>87.979237331688751</v>
      </c>
    </row>
    <row r="12" spans="2:43">
      <c r="B12" s="32">
        <v>200</v>
      </c>
      <c r="C12" s="32">
        <v>200</v>
      </c>
      <c r="D12" s="32" t="s">
        <v>3</v>
      </c>
      <c r="E12" s="32" t="s">
        <v>422</v>
      </c>
      <c r="F12" s="32">
        <v>85.76</v>
      </c>
      <c r="G12">
        <v>75.09</v>
      </c>
      <c r="H12">
        <f t="shared" si="0"/>
        <v>87.558302238805979</v>
      </c>
      <c r="R12">
        <v>8000</v>
      </c>
      <c r="S12">
        <v>0</v>
      </c>
      <c r="T12">
        <v>0</v>
      </c>
      <c r="U12" t="s">
        <v>477</v>
      </c>
      <c r="V12">
        <v>257.58</v>
      </c>
      <c r="W12">
        <v>245.71</v>
      </c>
      <c r="X12">
        <f t="shared" si="1"/>
        <v>95.391722959857134</v>
      </c>
      <c r="AK12" s="32">
        <v>800</v>
      </c>
      <c r="AL12" s="32" t="s">
        <v>17</v>
      </c>
      <c r="AM12" s="32">
        <v>9340</v>
      </c>
      <c r="AN12" s="32" t="s">
        <v>496</v>
      </c>
      <c r="AO12" s="32">
        <v>198.69</v>
      </c>
      <c r="AP12">
        <v>174.27</v>
      </c>
      <c r="AQ12">
        <f t="shared" si="2"/>
        <v>87.709497206703915</v>
      </c>
    </row>
    <row r="13" spans="2:43">
      <c r="B13" s="32">
        <v>400</v>
      </c>
      <c r="C13" s="32">
        <v>40</v>
      </c>
      <c r="D13" s="32" t="s">
        <v>0</v>
      </c>
      <c r="E13" s="32" t="s">
        <v>423</v>
      </c>
      <c r="F13" s="32">
        <v>96.69</v>
      </c>
      <c r="G13">
        <v>83.51</v>
      </c>
      <c r="H13">
        <f t="shared" si="0"/>
        <v>86.368807529217094</v>
      </c>
      <c r="R13">
        <v>10000</v>
      </c>
      <c r="S13">
        <v>0</v>
      </c>
      <c r="T13">
        <v>0</v>
      </c>
      <c r="U13" t="s">
        <v>474</v>
      </c>
      <c r="V13">
        <v>254.68</v>
      </c>
      <c r="W13">
        <v>235.09</v>
      </c>
      <c r="X13">
        <f t="shared" si="1"/>
        <v>92.307994345845771</v>
      </c>
      <c r="AK13" s="32">
        <v>800</v>
      </c>
      <c r="AL13" s="32">
        <v>540</v>
      </c>
      <c r="AM13" s="32" t="s">
        <v>497</v>
      </c>
      <c r="AN13" s="32" t="s">
        <v>498</v>
      </c>
      <c r="AO13" s="32">
        <v>198.24</v>
      </c>
      <c r="AP13">
        <v>175.1</v>
      </c>
      <c r="AQ13">
        <f t="shared" si="2"/>
        <v>88.327280064568185</v>
      </c>
    </row>
    <row r="14" spans="2:43">
      <c r="B14" s="32">
        <v>400</v>
      </c>
      <c r="C14" s="32">
        <v>80</v>
      </c>
      <c r="D14" s="32" t="s">
        <v>1</v>
      </c>
      <c r="E14" s="32" t="s">
        <v>424</v>
      </c>
      <c r="F14" s="32">
        <v>142.66999999999999</v>
      </c>
      <c r="G14">
        <v>130.22</v>
      </c>
      <c r="H14">
        <f t="shared" si="0"/>
        <v>91.273568374570687</v>
      </c>
      <c r="AK14" s="32">
        <v>800</v>
      </c>
      <c r="AL14" s="32" t="s">
        <v>19</v>
      </c>
      <c r="AM14" s="32" t="s">
        <v>499</v>
      </c>
      <c r="AN14" s="32" t="s">
        <v>500</v>
      </c>
      <c r="AO14" s="32">
        <v>193.87</v>
      </c>
      <c r="AP14">
        <v>175.83</v>
      </c>
      <c r="AQ14">
        <f t="shared" si="2"/>
        <v>90.694795481508223</v>
      </c>
    </row>
    <row r="15" spans="2:43">
      <c r="B15" s="32">
        <v>400</v>
      </c>
      <c r="C15" s="32">
        <v>100</v>
      </c>
      <c r="D15" s="32" t="s">
        <v>2</v>
      </c>
      <c r="E15" s="32" t="s">
        <v>425</v>
      </c>
      <c r="F15" s="32">
        <v>116.13</v>
      </c>
      <c r="G15">
        <v>100.59</v>
      </c>
      <c r="H15">
        <f t="shared" si="0"/>
        <v>86.618444846292959</v>
      </c>
      <c r="AK15" s="32">
        <v>800</v>
      </c>
      <c r="AL15" s="32">
        <v>640</v>
      </c>
      <c r="AM15" s="32" t="s">
        <v>501</v>
      </c>
      <c r="AN15" s="32" t="s">
        <v>502</v>
      </c>
      <c r="AO15" s="32">
        <v>194.08</v>
      </c>
      <c r="AP15">
        <v>175.37</v>
      </c>
      <c r="AQ15">
        <f t="shared" si="2"/>
        <v>90.359645507007414</v>
      </c>
    </row>
    <row r="16" spans="2:43">
      <c r="B16" s="32">
        <v>400</v>
      </c>
      <c r="C16" s="32">
        <v>200</v>
      </c>
      <c r="D16" s="32" t="s">
        <v>3</v>
      </c>
      <c r="E16" s="32" t="s">
        <v>426</v>
      </c>
      <c r="F16" s="32">
        <v>120.52</v>
      </c>
      <c r="G16">
        <v>101.5</v>
      </c>
      <c r="H16">
        <f t="shared" si="0"/>
        <v>84.218386989711263</v>
      </c>
      <c r="AK16" s="32">
        <v>800</v>
      </c>
      <c r="AL16" s="32" t="s">
        <v>21</v>
      </c>
      <c r="AM16" s="32" t="s">
        <v>503</v>
      </c>
      <c r="AN16" s="32" t="s">
        <v>504</v>
      </c>
      <c r="AO16" s="32">
        <v>198.1</v>
      </c>
      <c r="AP16">
        <v>176.4</v>
      </c>
      <c r="AQ16">
        <f t="shared" si="2"/>
        <v>89.045936395759711</v>
      </c>
    </row>
    <row r="17" spans="2:43">
      <c r="B17" s="32">
        <v>400</v>
      </c>
      <c r="C17" s="32">
        <v>400</v>
      </c>
      <c r="D17" s="32">
        <v>45880</v>
      </c>
      <c r="E17" s="32" t="s">
        <v>427</v>
      </c>
      <c r="F17" s="32">
        <v>142.59</v>
      </c>
      <c r="G17">
        <v>132.08000000000001</v>
      </c>
      <c r="H17">
        <f t="shared" si="0"/>
        <v>92.629216635107653</v>
      </c>
      <c r="AK17" s="32">
        <v>800</v>
      </c>
      <c r="AL17" s="32">
        <v>740</v>
      </c>
      <c r="AM17" s="32" t="s">
        <v>505</v>
      </c>
      <c r="AN17" s="32" t="s">
        <v>506</v>
      </c>
      <c r="AO17" s="32">
        <v>197.35</v>
      </c>
      <c r="AP17">
        <v>175.18</v>
      </c>
      <c r="AQ17">
        <f t="shared" si="2"/>
        <v>88.766151507474035</v>
      </c>
    </row>
    <row r="18" spans="2:43">
      <c r="B18" s="42">
        <v>800</v>
      </c>
      <c r="C18" s="42">
        <v>40</v>
      </c>
      <c r="D18" s="42" t="s">
        <v>0</v>
      </c>
      <c r="E18" s="42" t="s">
        <v>428</v>
      </c>
      <c r="F18" s="42">
        <v>126.39</v>
      </c>
      <c r="G18">
        <v>117.33</v>
      </c>
      <c r="H18">
        <f t="shared" si="0"/>
        <v>92.831711369570385</v>
      </c>
      <c r="AK18" s="32">
        <v>800</v>
      </c>
      <c r="AL18" s="32" t="s">
        <v>23</v>
      </c>
      <c r="AM18" s="32" t="s">
        <v>507</v>
      </c>
      <c r="AN18" s="32" t="s">
        <v>508</v>
      </c>
      <c r="AO18" s="32">
        <v>195.75</v>
      </c>
      <c r="AP18">
        <v>171.13</v>
      </c>
      <c r="AQ18">
        <f t="shared" si="2"/>
        <v>87.422733077905491</v>
      </c>
    </row>
    <row r="19" spans="2:43">
      <c r="B19" s="32">
        <v>800</v>
      </c>
      <c r="C19" s="32">
        <v>80</v>
      </c>
      <c r="D19" s="32" t="s">
        <v>1</v>
      </c>
      <c r="E19" s="32" t="s">
        <v>429</v>
      </c>
      <c r="F19" s="32">
        <v>195.61</v>
      </c>
      <c r="G19">
        <v>170.42</v>
      </c>
      <c r="H19">
        <f t="shared" si="0"/>
        <v>87.122335258933575</v>
      </c>
      <c r="AK19" s="42">
        <v>1000</v>
      </c>
      <c r="AL19" s="42">
        <v>40</v>
      </c>
      <c r="AM19" s="42" t="s">
        <v>23</v>
      </c>
      <c r="AN19" s="42" t="s">
        <v>509</v>
      </c>
      <c r="AO19" s="42">
        <v>99.92</v>
      </c>
      <c r="AP19">
        <v>98.54</v>
      </c>
      <c r="AQ19">
        <f t="shared" si="2"/>
        <v>98.618895116092872</v>
      </c>
    </row>
    <row r="20" spans="2:43">
      <c r="B20" s="32">
        <v>800</v>
      </c>
      <c r="C20" s="32">
        <v>100</v>
      </c>
      <c r="D20" s="32" t="s">
        <v>2</v>
      </c>
      <c r="E20" s="32" t="s">
        <v>430</v>
      </c>
      <c r="F20" s="32">
        <v>159.52000000000001</v>
      </c>
      <c r="G20">
        <v>134.69</v>
      </c>
      <c r="H20">
        <f t="shared" si="0"/>
        <v>84.434553660982942</v>
      </c>
      <c r="AK20" s="32">
        <v>1000</v>
      </c>
      <c r="AL20" s="32" t="s">
        <v>5</v>
      </c>
      <c r="AM20" s="32">
        <v>1740</v>
      </c>
      <c r="AN20" s="32" t="s">
        <v>510</v>
      </c>
      <c r="AO20" s="32">
        <v>185.7</v>
      </c>
      <c r="AP20">
        <v>181.04</v>
      </c>
      <c r="AQ20">
        <f t="shared" si="2"/>
        <v>97.490576198169094</v>
      </c>
    </row>
    <row r="21" spans="2:43">
      <c r="B21" s="32">
        <v>800</v>
      </c>
      <c r="C21" s="32">
        <v>200</v>
      </c>
      <c r="D21" s="32" t="s">
        <v>3</v>
      </c>
      <c r="E21" s="32" t="s">
        <v>431</v>
      </c>
      <c r="F21" s="32">
        <v>153.66999999999999</v>
      </c>
      <c r="G21">
        <v>140.69</v>
      </c>
      <c r="H21">
        <f t="shared" si="0"/>
        <v>91.553328561202591</v>
      </c>
      <c r="AK21" s="32">
        <v>1000</v>
      </c>
      <c r="AL21" s="32">
        <v>140</v>
      </c>
      <c r="AM21" s="32" t="s">
        <v>485</v>
      </c>
      <c r="AN21" s="32" t="s">
        <v>511</v>
      </c>
      <c r="AO21" s="32">
        <v>209.37</v>
      </c>
      <c r="AP21">
        <v>202.84</v>
      </c>
      <c r="AQ21">
        <f t="shared" si="2"/>
        <v>96.881119549123568</v>
      </c>
    </row>
    <row r="22" spans="2:43">
      <c r="B22" s="32">
        <v>800</v>
      </c>
      <c r="C22" s="32">
        <v>400</v>
      </c>
      <c r="D22" s="32">
        <v>45880</v>
      </c>
      <c r="E22" s="32" t="s">
        <v>432</v>
      </c>
      <c r="F22" s="32">
        <v>158.88</v>
      </c>
      <c r="G22">
        <v>137.01</v>
      </c>
      <c r="H22">
        <f t="shared" si="0"/>
        <v>86.234894259818731</v>
      </c>
      <c r="AK22" s="32">
        <v>1000</v>
      </c>
      <c r="AL22" s="32" t="s">
        <v>9</v>
      </c>
      <c r="AM22" s="32">
        <v>3640</v>
      </c>
      <c r="AN22" s="32" t="s">
        <v>512</v>
      </c>
      <c r="AO22" s="32">
        <v>167.23</v>
      </c>
      <c r="AP22">
        <v>166.94</v>
      </c>
      <c r="AQ22">
        <f t="shared" si="2"/>
        <v>99.826586138850686</v>
      </c>
    </row>
    <row r="23" spans="2:43">
      <c r="B23" s="32">
        <v>800</v>
      </c>
      <c r="C23" s="32">
        <v>800</v>
      </c>
      <c r="D23" s="32">
        <v>45480</v>
      </c>
      <c r="E23" s="32" t="s">
        <v>433</v>
      </c>
      <c r="F23" s="32">
        <v>195.16</v>
      </c>
      <c r="G23">
        <v>170.85</v>
      </c>
      <c r="H23">
        <f t="shared" si="0"/>
        <v>87.543554006968634</v>
      </c>
      <c r="AK23" s="32">
        <v>1000</v>
      </c>
      <c r="AL23" s="32">
        <v>240</v>
      </c>
      <c r="AM23" s="32" t="s">
        <v>488</v>
      </c>
      <c r="AN23" s="32" t="s">
        <v>513</v>
      </c>
      <c r="AO23" s="32">
        <v>182.8</v>
      </c>
      <c r="AP23">
        <v>185.65</v>
      </c>
      <c r="AQ23">
        <f t="shared" si="2"/>
        <v>101.55908096280086</v>
      </c>
    </row>
    <row r="24" spans="2:43">
      <c r="B24" s="42">
        <v>1000</v>
      </c>
      <c r="C24" s="42">
        <v>40</v>
      </c>
      <c r="D24" s="42" t="s">
        <v>0</v>
      </c>
      <c r="E24" s="42" t="s">
        <v>434</v>
      </c>
      <c r="F24" s="42">
        <v>128.53</v>
      </c>
      <c r="G24">
        <v>120.25</v>
      </c>
      <c r="H24">
        <f t="shared" si="0"/>
        <v>93.55792422002645</v>
      </c>
      <c r="AK24" s="32">
        <v>1000</v>
      </c>
      <c r="AL24" s="32" t="s">
        <v>13</v>
      </c>
      <c r="AM24" s="32">
        <v>5540</v>
      </c>
      <c r="AN24" s="32" t="s">
        <v>514</v>
      </c>
      <c r="AO24" s="32">
        <v>216.68</v>
      </c>
      <c r="AP24">
        <v>215.36</v>
      </c>
      <c r="AQ24">
        <f t="shared" si="2"/>
        <v>99.390806719586493</v>
      </c>
    </row>
    <row r="25" spans="2:43">
      <c r="B25" s="32">
        <v>1000</v>
      </c>
      <c r="C25" s="32">
        <v>80</v>
      </c>
      <c r="D25" s="32" t="s">
        <v>1</v>
      </c>
      <c r="E25" s="32" t="s">
        <v>435</v>
      </c>
      <c r="F25" s="32">
        <v>198.95</v>
      </c>
      <c r="G25">
        <v>179.31</v>
      </c>
      <c r="H25">
        <f t="shared" si="0"/>
        <v>90.128172907765787</v>
      </c>
      <c r="AK25" s="32">
        <v>1000</v>
      </c>
      <c r="AL25" s="32">
        <v>340</v>
      </c>
      <c r="AM25" s="32" t="s">
        <v>491</v>
      </c>
      <c r="AN25" s="32" t="s">
        <v>515</v>
      </c>
      <c r="AO25" s="32">
        <v>226.47</v>
      </c>
      <c r="AP25">
        <v>222.28</v>
      </c>
      <c r="AQ25">
        <f t="shared" si="2"/>
        <v>98.149865324325518</v>
      </c>
    </row>
    <row r="26" spans="2:43">
      <c r="B26" s="32">
        <v>1000</v>
      </c>
      <c r="C26" s="32">
        <v>100</v>
      </c>
      <c r="D26" s="32" t="s">
        <v>2</v>
      </c>
      <c r="E26" s="32" t="s">
        <v>436</v>
      </c>
      <c r="F26" s="32">
        <v>170.37</v>
      </c>
      <c r="G26">
        <v>151.65</v>
      </c>
      <c r="H26">
        <f t="shared" si="0"/>
        <v>89.01215002641311</v>
      </c>
      <c r="AK26" s="32">
        <v>1000</v>
      </c>
      <c r="AL26" s="32" t="s">
        <v>15</v>
      </c>
      <c r="AM26" s="32">
        <v>7440</v>
      </c>
      <c r="AN26" s="32" t="s">
        <v>516</v>
      </c>
      <c r="AO26" s="32">
        <v>236.92</v>
      </c>
      <c r="AP26">
        <v>226.52</v>
      </c>
      <c r="AQ26">
        <f t="shared" si="2"/>
        <v>95.610332601722121</v>
      </c>
    </row>
    <row r="27" spans="2:43">
      <c r="B27" s="32">
        <v>1000</v>
      </c>
      <c r="C27" s="32">
        <v>200</v>
      </c>
      <c r="D27" s="32" t="s">
        <v>3</v>
      </c>
      <c r="E27" s="32" t="s">
        <v>437</v>
      </c>
      <c r="F27" s="32">
        <v>191.17</v>
      </c>
      <c r="G27">
        <v>164.31</v>
      </c>
      <c r="H27">
        <f t="shared" si="0"/>
        <v>85.949678296803896</v>
      </c>
      <c r="AK27" s="32">
        <v>1000</v>
      </c>
      <c r="AL27" s="32">
        <v>440</v>
      </c>
      <c r="AM27" s="32" t="s">
        <v>494</v>
      </c>
      <c r="AN27" s="32" t="s">
        <v>517</v>
      </c>
      <c r="AO27" s="32">
        <v>234.74</v>
      </c>
      <c r="AP27">
        <v>225.17</v>
      </c>
      <c r="AQ27">
        <f t="shared" si="2"/>
        <v>95.923149015932509</v>
      </c>
    </row>
    <row r="28" spans="2:43">
      <c r="B28" s="32">
        <v>1000</v>
      </c>
      <c r="C28" s="32">
        <v>400</v>
      </c>
      <c r="D28" s="32">
        <v>45880</v>
      </c>
      <c r="E28" s="32" t="s">
        <v>438</v>
      </c>
      <c r="F28" s="32">
        <v>191.16</v>
      </c>
      <c r="G28">
        <v>167.48</v>
      </c>
      <c r="H28">
        <f t="shared" si="0"/>
        <v>87.612471228290431</v>
      </c>
      <c r="AK28" s="32">
        <v>1000</v>
      </c>
      <c r="AL28" s="32" t="s">
        <v>17</v>
      </c>
      <c r="AM28" s="32">
        <v>9340</v>
      </c>
      <c r="AN28" s="32" t="s">
        <v>518</v>
      </c>
      <c r="AO28" s="32">
        <v>230.57</v>
      </c>
      <c r="AP28">
        <v>225.4</v>
      </c>
      <c r="AQ28">
        <f t="shared" si="2"/>
        <v>97.757730840959368</v>
      </c>
    </row>
    <row r="29" spans="2:43">
      <c r="B29" s="32">
        <v>1000</v>
      </c>
      <c r="C29" s="32">
        <v>800</v>
      </c>
      <c r="D29" s="32">
        <v>45480</v>
      </c>
      <c r="E29" s="32" t="s">
        <v>439</v>
      </c>
      <c r="F29" s="32">
        <v>199.41</v>
      </c>
      <c r="G29">
        <v>180.93</v>
      </c>
      <c r="H29">
        <f t="shared" si="0"/>
        <v>90.73266135098541</v>
      </c>
      <c r="AK29" s="32">
        <v>1000</v>
      </c>
      <c r="AL29" s="32">
        <v>540</v>
      </c>
      <c r="AM29" s="32" t="s">
        <v>497</v>
      </c>
      <c r="AN29" s="32" t="s">
        <v>519</v>
      </c>
      <c r="AO29" s="32">
        <v>236.59</v>
      </c>
      <c r="AP29">
        <v>227.31</v>
      </c>
      <c r="AQ29">
        <f t="shared" si="2"/>
        <v>96.077602603660338</v>
      </c>
    </row>
    <row r="30" spans="2:43">
      <c r="B30" s="42">
        <v>2000</v>
      </c>
      <c r="C30" s="42">
        <v>40</v>
      </c>
      <c r="D30" s="42" t="s">
        <v>0</v>
      </c>
      <c r="E30" s="42" t="s">
        <v>440</v>
      </c>
      <c r="F30" s="42">
        <v>122.66</v>
      </c>
      <c r="G30">
        <v>106.38</v>
      </c>
      <c r="H30">
        <f t="shared" si="0"/>
        <v>86.727539540192396</v>
      </c>
      <c r="AK30" s="32">
        <v>1000</v>
      </c>
      <c r="AL30" s="32" t="s">
        <v>19</v>
      </c>
      <c r="AM30" s="32" t="s">
        <v>499</v>
      </c>
      <c r="AN30" s="32" t="s">
        <v>520</v>
      </c>
      <c r="AO30" s="32">
        <v>221.65</v>
      </c>
      <c r="AP30">
        <v>225.55</v>
      </c>
      <c r="AQ30">
        <f t="shared" si="2"/>
        <v>101.75953079178885</v>
      </c>
    </row>
    <row r="31" spans="2:43">
      <c r="B31" s="32">
        <v>2000</v>
      </c>
      <c r="C31" s="32">
        <v>80</v>
      </c>
      <c r="D31" s="32" t="s">
        <v>1</v>
      </c>
      <c r="E31" s="32" t="s">
        <v>441</v>
      </c>
      <c r="F31" s="37">
        <v>256.39</v>
      </c>
      <c r="G31">
        <v>241.69</v>
      </c>
      <c r="H31">
        <f t="shared" si="0"/>
        <v>94.266547057217522</v>
      </c>
      <c r="AK31" s="32">
        <v>1000</v>
      </c>
      <c r="AL31" s="32">
        <v>640</v>
      </c>
      <c r="AM31" s="32" t="s">
        <v>501</v>
      </c>
      <c r="AN31" s="32" t="s">
        <v>521</v>
      </c>
      <c r="AO31" s="32">
        <v>232.77</v>
      </c>
      <c r="AP31">
        <v>227.19</v>
      </c>
      <c r="AQ31">
        <f t="shared" si="2"/>
        <v>97.602783863899973</v>
      </c>
    </row>
    <row r="32" spans="2:43">
      <c r="B32" s="32">
        <v>2000</v>
      </c>
      <c r="C32" s="32">
        <v>100</v>
      </c>
      <c r="D32" s="32" t="s">
        <v>2</v>
      </c>
      <c r="E32" s="32" t="s">
        <v>442</v>
      </c>
      <c r="F32" s="32">
        <v>175.4</v>
      </c>
      <c r="G32">
        <v>159.19</v>
      </c>
      <c r="H32">
        <f t="shared" si="0"/>
        <v>90.758266818700108</v>
      </c>
      <c r="AK32" s="32">
        <v>1000</v>
      </c>
      <c r="AL32" s="32" t="s">
        <v>21</v>
      </c>
      <c r="AM32" s="32" t="s">
        <v>503</v>
      </c>
      <c r="AN32" s="32" t="s">
        <v>522</v>
      </c>
      <c r="AO32" s="32">
        <v>238.99</v>
      </c>
      <c r="AP32">
        <v>233.69</v>
      </c>
      <c r="AQ32">
        <f t="shared" si="2"/>
        <v>97.782333988869823</v>
      </c>
    </row>
    <row r="33" spans="2:43">
      <c r="B33" s="32">
        <v>2000</v>
      </c>
      <c r="C33" s="32">
        <v>200</v>
      </c>
      <c r="D33" s="32" t="s">
        <v>3</v>
      </c>
      <c r="E33" s="32" t="s">
        <v>443</v>
      </c>
      <c r="F33" s="32">
        <v>200.31</v>
      </c>
      <c r="G33">
        <v>183.14</v>
      </c>
      <c r="H33">
        <f t="shared" si="0"/>
        <v>91.428286156457489</v>
      </c>
      <c r="AK33" s="32">
        <v>1000</v>
      </c>
      <c r="AL33" s="32">
        <v>740</v>
      </c>
      <c r="AM33" s="32" t="s">
        <v>505</v>
      </c>
      <c r="AN33" s="32" t="s">
        <v>523</v>
      </c>
      <c r="AO33" s="32">
        <v>244.8</v>
      </c>
      <c r="AP33">
        <v>234.5</v>
      </c>
      <c r="AQ33">
        <f t="shared" si="2"/>
        <v>95.792483660130713</v>
      </c>
    </row>
    <row r="34" spans="2:43">
      <c r="B34" s="32">
        <v>2000</v>
      </c>
      <c r="C34" s="32">
        <v>400</v>
      </c>
      <c r="D34" s="32">
        <v>45880</v>
      </c>
      <c r="E34" s="32" t="s">
        <v>444</v>
      </c>
      <c r="F34" s="32">
        <v>214.09</v>
      </c>
      <c r="G34">
        <v>188.99</v>
      </c>
      <c r="H34">
        <f t="shared" si="0"/>
        <v>88.275958708954178</v>
      </c>
      <c r="AK34" s="32">
        <v>1000</v>
      </c>
      <c r="AL34" s="32" t="s">
        <v>760</v>
      </c>
      <c r="AM34" s="32" t="s">
        <v>507</v>
      </c>
      <c r="AN34" s="32" t="s">
        <v>524</v>
      </c>
      <c r="AO34" s="34">
        <v>247.73</v>
      </c>
      <c r="AP34">
        <v>234.8</v>
      </c>
      <c r="AQ34">
        <f t="shared" si="2"/>
        <v>94.780607919912825</v>
      </c>
    </row>
    <row r="35" spans="2:43">
      <c r="B35" s="32">
        <v>2000</v>
      </c>
      <c r="C35" s="32">
        <v>800</v>
      </c>
      <c r="D35" s="32">
        <v>45480</v>
      </c>
      <c r="E35" s="32" t="s">
        <v>445</v>
      </c>
      <c r="F35" s="32">
        <v>224.41</v>
      </c>
      <c r="G35">
        <v>199.08</v>
      </c>
      <c r="H35">
        <f t="shared" si="0"/>
        <v>88.712624214607189</v>
      </c>
      <c r="AK35" s="42">
        <v>2000</v>
      </c>
      <c r="AL35" s="42">
        <v>40</v>
      </c>
      <c r="AM35" s="42" t="s">
        <v>23</v>
      </c>
      <c r="AN35" s="42" t="s">
        <v>525</v>
      </c>
      <c r="AO35" s="42">
        <v>96.88</v>
      </c>
      <c r="AP35">
        <v>93.49</v>
      </c>
      <c r="AQ35">
        <f t="shared" si="2"/>
        <v>96.500825763831543</v>
      </c>
    </row>
    <row r="36" spans="2:43">
      <c r="B36" s="42">
        <v>4000</v>
      </c>
      <c r="C36" s="42">
        <v>40</v>
      </c>
      <c r="D36" s="42" t="s">
        <v>0</v>
      </c>
      <c r="E36" s="42" t="s">
        <v>446</v>
      </c>
      <c r="F36" s="42">
        <v>119.9</v>
      </c>
      <c r="G36">
        <v>103.84</v>
      </c>
      <c r="H36">
        <f t="shared" si="0"/>
        <v>86.605504587155963</v>
      </c>
      <c r="AK36" s="32">
        <v>2000</v>
      </c>
      <c r="AL36" s="32" t="s">
        <v>5</v>
      </c>
      <c r="AM36" s="32">
        <v>1740</v>
      </c>
      <c r="AN36" s="32" t="s">
        <v>526</v>
      </c>
      <c r="AO36" s="32">
        <v>183.89</v>
      </c>
      <c r="AP36">
        <v>166.97</v>
      </c>
      <c r="AQ36">
        <f t="shared" si="2"/>
        <v>90.79884713687531</v>
      </c>
    </row>
    <row r="37" spans="2:43">
      <c r="B37" s="32">
        <v>4000</v>
      </c>
      <c r="C37" s="32">
        <v>80</v>
      </c>
      <c r="D37" s="32" t="s">
        <v>1</v>
      </c>
      <c r="E37" s="32" t="s">
        <v>447</v>
      </c>
      <c r="F37" s="32">
        <v>250.02</v>
      </c>
      <c r="G37">
        <v>213.39</v>
      </c>
      <c r="H37">
        <f t="shared" si="0"/>
        <v>85.349172066234686</v>
      </c>
      <c r="AK37" s="32">
        <v>2000</v>
      </c>
      <c r="AL37" s="32">
        <v>140</v>
      </c>
      <c r="AM37" s="32" t="s">
        <v>485</v>
      </c>
      <c r="AN37" s="32" t="s">
        <v>527</v>
      </c>
      <c r="AO37" s="32">
        <v>205.5</v>
      </c>
      <c r="AP37">
        <v>190.96</v>
      </c>
      <c r="AQ37">
        <f t="shared" si="2"/>
        <v>92.924574209245748</v>
      </c>
    </row>
    <row r="38" spans="2:43">
      <c r="B38" s="32">
        <v>4000</v>
      </c>
      <c r="C38" s="32">
        <v>100</v>
      </c>
      <c r="D38" s="32" t="s">
        <v>2</v>
      </c>
      <c r="E38" s="32" t="s">
        <v>448</v>
      </c>
      <c r="F38" s="32">
        <v>248.1</v>
      </c>
      <c r="G38">
        <v>208.21</v>
      </c>
      <c r="H38">
        <f t="shared" si="0"/>
        <v>83.921805723498593</v>
      </c>
      <c r="AK38" s="32">
        <v>2000</v>
      </c>
      <c r="AL38" s="32" t="s">
        <v>9</v>
      </c>
      <c r="AM38" s="32">
        <v>3640</v>
      </c>
      <c r="AN38" s="32" t="s">
        <v>528</v>
      </c>
      <c r="AO38" s="32">
        <v>170.81</v>
      </c>
      <c r="AP38">
        <v>171.64</v>
      </c>
      <c r="AQ38">
        <f t="shared" si="2"/>
        <v>100.48592002810139</v>
      </c>
    </row>
    <row r="39" spans="2:43">
      <c r="B39" s="32">
        <v>4000</v>
      </c>
      <c r="C39" s="32">
        <v>200</v>
      </c>
      <c r="D39" s="32" t="s">
        <v>3</v>
      </c>
      <c r="E39" s="32" t="s">
        <v>449</v>
      </c>
      <c r="F39" s="32">
        <v>242.77</v>
      </c>
      <c r="G39">
        <v>211.4</v>
      </c>
      <c r="H39">
        <f t="shared" si="0"/>
        <v>87.078304568109729</v>
      </c>
      <c r="AK39" s="32">
        <v>2000</v>
      </c>
      <c r="AL39" s="32">
        <v>240</v>
      </c>
      <c r="AM39" s="32" t="s">
        <v>488</v>
      </c>
      <c r="AN39" s="32" t="s">
        <v>529</v>
      </c>
      <c r="AO39" s="32">
        <v>183.06</v>
      </c>
      <c r="AP39">
        <v>193.86</v>
      </c>
      <c r="AQ39">
        <f t="shared" si="2"/>
        <v>105.89970501474927</v>
      </c>
    </row>
    <row r="40" spans="2:43">
      <c r="B40" s="32">
        <v>4000</v>
      </c>
      <c r="C40" s="32">
        <v>400</v>
      </c>
      <c r="D40" s="32">
        <v>45880</v>
      </c>
      <c r="E40" s="32" t="s">
        <v>450</v>
      </c>
      <c r="F40" s="32">
        <v>244.01</v>
      </c>
      <c r="G40">
        <v>213.78</v>
      </c>
      <c r="H40">
        <f t="shared" si="0"/>
        <v>87.611163476906682</v>
      </c>
      <c r="AK40" s="32">
        <v>2000</v>
      </c>
      <c r="AL40" s="32" t="s">
        <v>13</v>
      </c>
      <c r="AM40" s="32">
        <v>5540</v>
      </c>
      <c r="AN40" s="32" t="s">
        <v>530</v>
      </c>
      <c r="AO40" s="32">
        <v>220.03</v>
      </c>
      <c r="AP40">
        <v>212.14</v>
      </c>
      <c r="AQ40">
        <f t="shared" si="2"/>
        <v>96.414125346543642</v>
      </c>
    </row>
    <row r="41" spans="2:43">
      <c r="B41" s="32">
        <v>4000</v>
      </c>
      <c r="C41" s="32">
        <v>800</v>
      </c>
      <c r="D41" s="32">
        <v>45480</v>
      </c>
      <c r="E41" s="32" t="s">
        <v>451</v>
      </c>
      <c r="F41" s="32">
        <v>245.62</v>
      </c>
      <c r="G41">
        <v>215.02</v>
      </c>
      <c r="H41">
        <f t="shared" si="0"/>
        <v>87.541731129386861</v>
      </c>
      <c r="AK41" s="32">
        <v>2000</v>
      </c>
      <c r="AL41" s="32">
        <v>340</v>
      </c>
      <c r="AM41" s="32" t="s">
        <v>491</v>
      </c>
      <c r="AN41" s="32" t="s">
        <v>531</v>
      </c>
      <c r="AO41" s="32">
        <v>226.27</v>
      </c>
      <c r="AP41">
        <v>215.13</v>
      </c>
      <c r="AQ41">
        <f t="shared" si="2"/>
        <v>95.076678304680243</v>
      </c>
    </row>
    <row r="42" spans="2:43">
      <c r="B42" s="42">
        <v>8000</v>
      </c>
      <c r="C42" s="42">
        <v>40</v>
      </c>
      <c r="D42" s="42" t="s">
        <v>0</v>
      </c>
      <c r="E42" s="42" t="s">
        <v>452</v>
      </c>
      <c r="F42" s="42">
        <v>116.1</v>
      </c>
      <c r="G42">
        <v>100.16</v>
      </c>
      <c r="H42">
        <f t="shared" si="0"/>
        <v>86.270456503014643</v>
      </c>
      <c r="AK42" s="32">
        <v>2000</v>
      </c>
      <c r="AL42" s="32" t="s">
        <v>15</v>
      </c>
      <c r="AM42" s="32">
        <v>7440</v>
      </c>
      <c r="AN42" s="32" t="s">
        <v>532</v>
      </c>
      <c r="AO42" s="32">
        <v>240.36</v>
      </c>
      <c r="AP42">
        <v>219.48</v>
      </c>
      <c r="AQ42">
        <f t="shared" si="2"/>
        <v>91.313030454318508</v>
      </c>
    </row>
    <row r="43" spans="2:43">
      <c r="B43" s="32">
        <v>8000</v>
      </c>
      <c r="C43" s="32">
        <v>80</v>
      </c>
      <c r="D43" s="32" t="s">
        <v>1</v>
      </c>
      <c r="E43" s="32" t="s">
        <v>453</v>
      </c>
      <c r="F43" s="32">
        <v>229.56</v>
      </c>
      <c r="G43">
        <v>199.81</v>
      </c>
      <c r="H43">
        <f t="shared" si="0"/>
        <v>87.040425161177907</v>
      </c>
      <c r="AK43" s="32">
        <v>2000</v>
      </c>
      <c r="AL43" s="32">
        <v>440</v>
      </c>
      <c r="AM43" s="32" t="s">
        <v>494</v>
      </c>
      <c r="AN43" s="32" t="s">
        <v>533</v>
      </c>
      <c r="AO43" s="32">
        <v>230.92</v>
      </c>
      <c r="AP43">
        <v>219.09</v>
      </c>
      <c r="AQ43">
        <f t="shared" si="2"/>
        <v>94.877013684392878</v>
      </c>
    </row>
    <row r="44" spans="2:43">
      <c r="B44" s="32">
        <v>8000</v>
      </c>
      <c r="C44" s="32">
        <v>100</v>
      </c>
      <c r="D44" s="32" t="s">
        <v>2</v>
      </c>
      <c r="E44" s="32" t="s">
        <v>454</v>
      </c>
      <c r="F44" s="32">
        <v>233.34</v>
      </c>
      <c r="G44">
        <v>200.48</v>
      </c>
      <c r="H44">
        <f t="shared" si="0"/>
        <v>85.9175452129939</v>
      </c>
      <c r="AK44" s="32">
        <v>2000</v>
      </c>
      <c r="AL44" s="32" t="s">
        <v>17</v>
      </c>
      <c r="AM44" s="32">
        <v>9340</v>
      </c>
      <c r="AN44" s="32" t="s">
        <v>534</v>
      </c>
      <c r="AO44" s="32">
        <v>238.69</v>
      </c>
      <c r="AP44">
        <v>223.46</v>
      </c>
      <c r="AQ44">
        <f t="shared" si="2"/>
        <v>93.619338891449161</v>
      </c>
    </row>
    <row r="45" spans="2:43">
      <c r="B45" s="32">
        <v>8000</v>
      </c>
      <c r="C45" s="32">
        <v>200</v>
      </c>
      <c r="D45" s="32" t="s">
        <v>3</v>
      </c>
      <c r="E45" s="32" t="s">
        <v>455</v>
      </c>
      <c r="F45" s="32">
        <v>235.24</v>
      </c>
      <c r="G45">
        <v>203.51</v>
      </c>
      <c r="H45">
        <f t="shared" si="0"/>
        <v>86.511647678966156</v>
      </c>
      <c r="AK45" s="32">
        <v>2000</v>
      </c>
      <c r="AL45" s="32">
        <v>540</v>
      </c>
      <c r="AM45" s="32" t="s">
        <v>497</v>
      </c>
      <c r="AN45" s="32" t="s">
        <v>535</v>
      </c>
      <c r="AO45" s="32">
        <v>240.99</v>
      </c>
      <c r="AP45">
        <v>223.74</v>
      </c>
      <c r="AQ45">
        <f t="shared" si="2"/>
        <v>92.842026640109538</v>
      </c>
    </row>
    <row r="46" spans="2:43">
      <c r="B46" s="32">
        <v>8000</v>
      </c>
      <c r="C46" s="32">
        <v>400</v>
      </c>
      <c r="D46" s="32">
        <v>45880</v>
      </c>
      <c r="E46" s="32" t="s">
        <v>456</v>
      </c>
      <c r="F46" s="32">
        <v>234.13</v>
      </c>
      <c r="G46">
        <v>203.84</v>
      </c>
      <c r="H46">
        <f t="shared" si="0"/>
        <v>87.062742920599661</v>
      </c>
      <c r="AK46" s="32">
        <v>2000</v>
      </c>
      <c r="AL46" s="32" t="s">
        <v>19</v>
      </c>
      <c r="AM46" s="32" t="s">
        <v>499</v>
      </c>
      <c r="AN46" s="32" t="s">
        <v>536</v>
      </c>
      <c r="AO46" s="32">
        <v>224.26</v>
      </c>
      <c r="AP46">
        <v>217.25</v>
      </c>
      <c r="AQ46">
        <f t="shared" si="2"/>
        <v>96.874163916882196</v>
      </c>
    </row>
    <row r="47" spans="2:43">
      <c r="B47" s="32">
        <v>8000</v>
      </c>
      <c r="C47" s="32">
        <v>800</v>
      </c>
      <c r="D47" s="32">
        <v>45480</v>
      </c>
      <c r="E47" s="32" t="s">
        <v>457</v>
      </c>
      <c r="F47" s="32">
        <v>239.09</v>
      </c>
      <c r="G47">
        <v>201.03</v>
      </c>
      <c r="H47">
        <f t="shared" si="0"/>
        <v>84.081308293947885</v>
      </c>
      <c r="AK47" s="32">
        <v>2000</v>
      </c>
      <c r="AL47" s="32">
        <v>640</v>
      </c>
      <c r="AM47" s="32" t="s">
        <v>501</v>
      </c>
      <c r="AN47" s="32" t="s">
        <v>537</v>
      </c>
      <c r="AO47" s="32">
        <v>224.35</v>
      </c>
      <c r="AP47">
        <v>218.26</v>
      </c>
      <c r="AQ47">
        <f t="shared" si="2"/>
        <v>97.285491419656793</v>
      </c>
    </row>
    <row r="48" spans="2:43">
      <c r="B48" s="32">
        <v>10000</v>
      </c>
      <c r="C48" s="32">
        <v>80</v>
      </c>
      <c r="D48" s="32" t="s">
        <v>1</v>
      </c>
      <c r="E48" s="32" t="s">
        <v>458</v>
      </c>
      <c r="F48" s="32">
        <v>231.03</v>
      </c>
      <c r="G48">
        <v>203.13</v>
      </c>
      <c r="H48">
        <f t="shared" si="0"/>
        <v>87.923646279703931</v>
      </c>
      <c r="AK48" s="32">
        <v>2000</v>
      </c>
      <c r="AL48" s="32" t="s">
        <v>21</v>
      </c>
      <c r="AM48" s="32" t="s">
        <v>503</v>
      </c>
      <c r="AN48" s="32" t="s">
        <v>538</v>
      </c>
      <c r="AO48" s="32">
        <v>243.68</v>
      </c>
      <c r="AP48">
        <v>228.7</v>
      </c>
      <c r="AQ48">
        <f t="shared" si="2"/>
        <v>93.852593565331574</v>
      </c>
    </row>
    <row r="49" spans="2:43">
      <c r="B49" s="32">
        <v>10000</v>
      </c>
      <c r="C49" s="32">
        <v>100</v>
      </c>
      <c r="D49" s="32" t="s">
        <v>2</v>
      </c>
      <c r="E49" s="32" t="s">
        <v>459</v>
      </c>
      <c r="F49" s="32">
        <v>241.57</v>
      </c>
      <c r="G49">
        <v>202.57</v>
      </c>
      <c r="H49">
        <f t="shared" si="0"/>
        <v>83.855611210001243</v>
      </c>
      <c r="AK49" s="32">
        <v>2000</v>
      </c>
      <c r="AL49" s="32">
        <v>740</v>
      </c>
      <c r="AM49" s="32" t="s">
        <v>505</v>
      </c>
      <c r="AN49" s="32" t="s">
        <v>539</v>
      </c>
      <c r="AO49" s="32">
        <v>242.69</v>
      </c>
      <c r="AP49">
        <v>229.1</v>
      </c>
      <c r="AQ49">
        <f t="shared" si="2"/>
        <v>94.400263710906913</v>
      </c>
    </row>
    <row r="50" spans="2:43">
      <c r="B50" s="32">
        <v>10000</v>
      </c>
      <c r="C50" s="32">
        <v>200</v>
      </c>
      <c r="D50" s="32" t="s">
        <v>3</v>
      </c>
      <c r="E50" s="32" t="s">
        <v>460</v>
      </c>
      <c r="F50" s="32">
        <v>239.45</v>
      </c>
      <c r="G50">
        <v>204.92</v>
      </c>
      <c r="H50">
        <f t="shared" si="0"/>
        <v>85.579452912925461</v>
      </c>
      <c r="AK50" s="32">
        <v>2000</v>
      </c>
      <c r="AL50" s="32" t="s">
        <v>23</v>
      </c>
      <c r="AM50" s="32" t="s">
        <v>507</v>
      </c>
      <c r="AN50" s="32" t="s">
        <v>540</v>
      </c>
      <c r="AO50" s="32">
        <v>247.6</v>
      </c>
      <c r="AP50">
        <v>228.4</v>
      </c>
      <c r="AQ50">
        <f t="shared" si="2"/>
        <v>92.245557350565434</v>
      </c>
    </row>
    <row r="51" spans="2:43">
      <c r="B51" s="32">
        <v>10000</v>
      </c>
      <c r="C51" s="32">
        <v>400</v>
      </c>
      <c r="D51" s="32">
        <v>45880</v>
      </c>
      <c r="E51" s="32" t="s">
        <v>461</v>
      </c>
      <c r="F51" s="32">
        <v>237.62</v>
      </c>
      <c r="G51">
        <v>203.12</v>
      </c>
      <c r="H51">
        <f t="shared" si="0"/>
        <v>85.481020116151839</v>
      </c>
      <c r="AK51" s="42">
        <v>4000</v>
      </c>
      <c r="AL51" s="42">
        <v>40</v>
      </c>
      <c r="AM51" s="42" t="s">
        <v>23</v>
      </c>
      <c r="AN51" s="42" t="s">
        <v>541</v>
      </c>
      <c r="AO51" s="42">
        <v>99.26</v>
      </c>
      <c r="AP51">
        <v>93.77</v>
      </c>
      <c r="AQ51">
        <f t="shared" si="2"/>
        <v>94.469071126334867</v>
      </c>
    </row>
    <row r="52" spans="2:43">
      <c r="B52" s="32">
        <v>10000</v>
      </c>
      <c r="C52" s="32">
        <v>800</v>
      </c>
      <c r="D52" s="32">
        <v>45480</v>
      </c>
      <c r="E52" s="32" t="s">
        <v>462</v>
      </c>
      <c r="F52" s="32">
        <v>238.79</v>
      </c>
      <c r="G52">
        <v>205.05</v>
      </c>
      <c r="H52">
        <f t="shared" si="0"/>
        <v>85.870430085011947</v>
      </c>
      <c r="AK52" s="32">
        <v>4000</v>
      </c>
      <c r="AL52" s="32" t="s">
        <v>5</v>
      </c>
      <c r="AM52" s="32">
        <v>1740</v>
      </c>
      <c r="AN52" s="32" t="s">
        <v>542</v>
      </c>
      <c r="AO52" s="32">
        <v>160.69999999999999</v>
      </c>
      <c r="AP52">
        <v>142.38</v>
      </c>
      <c r="AQ52">
        <f t="shared" si="2"/>
        <v>88.599875544492846</v>
      </c>
    </row>
    <row r="53" spans="2:43">
      <c r="F53">
        <f>MAX(F3:F52)</f>
        <v>256.39</v>
      </c>
      <c r="AK53" s="32">
        <v>4000</v>
      </c>
      <c r="AL53" s="32">
        <v>140</v>
      </c>
      <c r="AM53" s="32" t="s">
        <v>485</v>
      </c>
      <c r="AN53" s="32" t="s">
        <v>543</v>
      </c>
      <c r="AO53" s="32">
        <v>192.45</v>
      </c>
      <c r="AP53">
        <v>171.5</v>
      </c>
      <c r="AQ53">
        <f t="shared" si="2"/>
        <v>89.114055598856851</v>
      </c>
    </row>
    <row r="54" spans="2:43">
      <c r="AK54" s="32">
        <v>4000</v>
      </c>
      <c r="AL54" s="32" t="s">
        <v>9</v>
      </c>
      <c r="AM54" s="32">
        <v>3640</v>
      </c>
      <c r="AN54" s="32" t="s">
        <v>544</v>
      </c>
      <c r="AO54" s="32">
        <v>171.76</v>
      </c>
      <c r="AP54">
        <v>170.37</v>
      </c>
      <c r="AQ54">
        <f t="shared" si="2"/>
        <v>99.19073125291105</v>
      </c>
    </row>
    <row r="55" spans="2:43">
      <c r="AK55" s="32">
        <v>4000</v>
      </c>
      <c r="AL55" s="32">
        <v>240</v>
      </c>
      <c r="AM55" s="32" t="s">
        <v>488</v>
      </c>
      <c r="AN55" s="32" t="s">
        <v>545</v>
      </c>
      <c r="AO55" s="32">
        <v>187.95</v>
      </c>
      <c r="AP55">
        <v>184.53</v>
      </c>
      <c r="AQ55">
        <f t="shared" si="2"/>
        <v>98.180367118914617</v>
      </c>
    </row>
    <row r="56" spans="2:43">
      <c r="AK56" s="32">
        <v>4000</v>
      </c>
      <c r="AL56" s="32" t="s">
        <v>13</v>
      </c>
      <c r="AM56" s="32">
        <v>5540</v>
      </c>
      <c r="AN56" s="32" t="s">
        <v>546</v>
      </c>
      <c r="AO56" s="32">
        <v>224.36</v>
      </c>
      <c r="AP56">
        <v>196.66</v>
      </c>
      <c r="AQ56">
        <f t="shared" si="2"/>
        <v>87.653770725619523</v>
      </c>
    </row>
    <row r="57" spans="2:43">
      <c r="AK57" s="32">
        <v>4000</v>
      </c>
      <c r="AL57" s="32">
        <v>340</v>
      </c>
      <c r="AM57" s="32" t="s">
        <v>491</v>
      </c>
      <c r="AN57" s="32" t="s">
        <v>547</v>
      </c>
      <c r="AO57" s="32">
        <v>226.41</v>
      </c>
      <c r="AP57">
        <v>201.42</v>
      </c>
      <c r="AQ57">
        <f t="shared" si="2"/>
        <v>88.962501656287259</v>
      </c>
    </row>
    <row r="58" spans="2:43">
      <c r="AK58" s="32">
        <v>4000</v>
      </c>
      <c r="AL58" s="32" t="s">
        <v>15</v>
      </c>
      <c r="AM58" s="32">
        <v>7440</v>
      </c>
      <c r="AN58" s="32" t="s">
        <v>548</v>
      </c>
      <c r="AO58" s="32">
        <v>235.09</v>
      </c>
      <c r="AP58">
        <v>204.5</v>
      </c>
      <c r="AQ58">
        <f t="shared" si="2"/>
        <v>86.987962057084516</v>
      </c>
    </row>
    <row r="59" spans="2:43">
      <c r="AK59" s="32">
        <v>4000</v>
      </c>
      <c r="AL59" s="32">
        <v>440</v>
      </c>
      <c r="AM59" s="32" t="s">
        <v>494</v>
      </c>
      <c r="AN59" s="32" t="s">
        <v>549</v>
      </c>
      <c r="AO59" s="32">
        <v>231.67</v>
      </c>
      <c r="AP59">
        <v>207.6</v>
      </c>
      <c r="AQ59">
        <f t="shared" si="2"/>
        <v>89.610221435662794</v>
      </c>
    </row>
    <row r="60" spans="2:43">
      <c r="AK60" s="32">
        <v>4000</v>
      </c>
      <c r="AL60" s="32" t="s">
        <v>17</v>
      </c>
      <c r="AM60" s="32">
        <v>9340</v>
      </c>
      <c r="AN60" s="32" t="s">
        <v>550</v>
      </c>
      <c r="AO60" s="32">
        <v>236.33</v>
      </c>
      <c r="AP60">
        <v>210.95</v>
      </c>
      <c r="AQ60">
        <f t="shared" si="2"/>
        <v>89.260779418609559</v>
      </c>
    </row>
    <row r="61" spans="2:43">
      <c r="AK61" s="32">
        <v>4000</v>
      </c>
      <c r="AL61" s="32">
        <v>540</v>
      </c>
      <c r="AM61" s="32" t="s">
        <v>497</v>
      </c>
      <c r="AN61" s="32" t="s">
        <v>551</v>
      </c>
      <c r="AO61" s="32">
        <v>238.69</v>
      </c>
      <c r="AP61">
        <v>214.93</v>
      </c>
      <c r="AQ61">
        <f t="shared" si="2"/>
        <v>90.045665926515568</v>
      </c>
    </row>
    <row r="62" spans="2:43">
      <c r="AK62" s="32">
        <v>4000</v>
      </c>
      <c r="AL62" s="32" t="s">
        <v>19</v>
      </c>
      <c r="AM62" s="32" t="s">
        <v>499</v>
      </c>
      <c r="AN62" s="32" t="s">
        <v>552</v>
      </c>
      <c r="AO62" s="32">
        <v>222.43</v>
      </c>
      <c r="AP62">
        <v>209.35</v>
      </c>
      <c r="AQ62">
        <f t="shared" si="2"/>
        <v>94.119498269118367</v>
      </c>
    </row>
    <row r="63" spans="2:43">
      <c r="AK63" s="32">
        <v>4000</v>
      </c>
      <c r="AL63" s="32">
        <v>640</v>
      </c>
      <c r="AM63" s="32" t="s">
        <v>501</v>
      </c>
      <c r="AN63" s="32" t="s">
        <v>553</v>
      </c>
      <c r="AO63" s="32">
        <v>228.68</v>
      </c>
      <c r="AP63">
        <v>213.04</v>
      </c>
      <c r="AQ63">
        <f t="shared" si="2"/>
        <v>93.160748644393905</v>
      </c>
    </row>
    <row r="64" spans="2:43">
      <c r="AK64" s="32">
        <v>4000</v>
      </c>
      <c r="AL64" s="32" t="s">
        <v>21</v>
      </c>
      <c r="AM64" s="32" t="s">
        <v>503</v>
      </c>
      <c r="AN64" s="32" t="s">
        <v>554</v>
      </c>
      <c r="AO64" s="32">
        <v>241.34</v>
      </c>
      <c r="AP64">
        <v>215.44</v>
      </c>
      <c r="AQ64">
        <f t="shared" si="2"/>
        <v>89.268252258224905</v>
      </c>
    </row>
    <row r="65" spans="37:43">
      <c r="AK65" s="32">
        <v>4000</v>
      </c>
      <c r="AL65" s="32">
        <v>740</v>
      </c>
      <c r="AM65" s="32" t="s">
        <v>505</v>
      </c>
      <c r="AN65" s="32" t="s">
        <v>555</v>
      </c>
      <c r="AO65" s="32">
        <v>242.77</v>
      </c>
      <c r="AP65">
        <v>219.34</v>
      </c>
      <c r="AQ65">
        <f t="shared" si="2"/>
        <v>90.34888989578613</v>
      </c>
    </row>
    <row r="66" spans="37:43">
      <c r="AK66" s="32">
        <v>4000</v>
      </c>
      <c r="AL66" s="32" t="s">
        <v>23</v>
      </c>
      <c r="AM66" s="32" t="s">
        <v>507</v>
      </c>
      <c r="AN66" s="32" t="s">
        <v>556</v>
      </c>
      <c r="AO66" s="32">
        <v>246.19</v>
      </c>
      <c r="AP66">
        <v>221.37</v>
      </c>
      <c r="AQ66">
        <f t="shared" si="2"/>
        <v>89.918355741500463</v>
      </c>
    </row>
    <row r="67" spans="37:43">
      <c r="AK67" s="42">
        <v>8000</v>
      </c>
      <c r="AL67" s="42">
        <v>40</v>
      </c>
      <c r="AM67" s="42" t="s">
        <v>23</v>
      </c>
      <c r="AN67" s="42" t="s">
        <v>557</v>
      </c>
      <c r="AO67" s="42">
        <v>97.35</v>
      </c>
      <c r="AP67">
        <v>93.72</v>
      </c>
      <c r="AQ67">
        <f t="shared" si="2"/>
        <v>96.271186440677965</v>
      </c>
    </row>
    <row r="68" spans="37:43">
      <c r="AK68" s="32">
        <v>8000</v>
      </c>
      <c r="AL68" s="32" t="s">
        <v>5</v>
      </c>
      <c r="AM68" s="32">
        <v>1740</v>
      </c>
      <c r="AN68" s="32" t="s">
        <v>558</v>
      </c>
      <c r="AO68" s="32">
        <v>139.28</v>
      </c>
      <c r="AP68">
        <v>126.7</v>
      </c>
      <c r="AQ68">
        <f t="shared" ref="AQ68:AQ97" si="3">AP68/AO68*100</f>
        <v>90.967834577828839</v>
      </c>
    </row>
    <row r="69" spans="37:43">
      <c r="AK69" s="32">
        <v>8000</v>
      </c>
      <c r="AL69" s="32">
        <v>140</v>
      </c>
      <c r="AM69" s="32" t="s">
        <v>485</v>
      </c>
      <c r="AN69" s="32" t="s">
        <v>559</v>
      </c>
      <c r="AO69" s="32">
        <v>161.94</v>
      </c>
      <c r="AP69">
        <v>145.96</v>
      </c>
      <c r="AQ69">
        <f t="shared" si="3"/>
        <v>90.132147709028047</v>
      </c>
    </row>
    <row r="70" spans="37:43">
      <c r="AK70" s="32">
        <v>8000</v>
      </c>
      <c r="AL70" s="32" t="s">
        <v>9</v>
      </c>
      <c r="AM70" s="32">
        <v>3640</v>
      </c>
      <c r="AN70" s="32" t="s">
        <v>560</v>
      </c>
      <c r="AO70" s="32">
        <v>167.51</v>
      </c>
      <c r="AP70">
        <v>154.61000000000001</v>
      </c>
      <c r="AQ70">
        <f t="shared" si="3"/>
        <v>92.298967225837288</v>
      </c>
    </row>
    <row r="71" spans="37:43">
      <c r="AK71" s="32">
        <v>8000</v>
      </c>
      <c r="AL71" s="32">
        <v>240</v>
      </c>
      <c r="AM71" s="32" t="s">
        <v>488</v>
      </c>
      <c r="AN71" s="32" t="s">
        <v>561</v>
      </c>
      <c r="AO71" s="32">
        <v>184.86</v>
      </c>
      <c r="AP71">
        <v>165.53</v>
      </c>
      <c r="AQ71">
        <f t="shared" si="3"/>
        <v>89.543438277615479</v>
      </c>
    </row>
    <row r="72" spans="37:43">
      <c r="AK72" s="32">
        <v>8000</v>
      </c>
      <c r="AL72" s="32" t="s">
        <v>13</v>
      </c>
      <c r="AM72" s="32">
        <v>5540</v>
      </c>
      <c r="AN72" s="32" t="s">
        <v>562</v>
      </c>
      <c r="AO72" s="32">
        <v>199.22</v>
      </c>
      <c r="AP72">
        <v>172.74</v>
      </c>
      <c r="AQ72">
        <f t="shared" si="3"/>
        <v>86.708161831141467</v>
      </c>
    </row>
    <row r="73" spans="37:43">
      <c r="AK73" s="32">
        <v>8000</v>
      </c>
      <c r="AL73" s="32">
        <v>340</v>
      </c>
      <c r="AM73" s="32" t="s">
        <v>491</v>
      </c>
      <c r="AN73" s="32" t="s">
        <v>563</v>
      </c>
      <c r="AO73" s="32">
        <v>203.36</v>
      </c>
      <c r="AP73">
        <v>175.97</v>
      </c>
      <c r="AQ73">
        <f t="shared" si="3"/>
        <v>86.531274586939418</v>
      </c>
    </row>
    <row r="74" spans="37:43">
      <c r="AK74" s="32">
        <v>8000</v>
      </c>
      <c r="AL74" s="32" t="s">
        <v>15</v>
      </c>
      <c r="AM74" s="32">
        <v>7440</v>
      </c>
      <c r="AN74" s="32" t="s">
        <v>564</v>
      </c>
      <c r="AO74" s="32">
        <v>209.56</v>
      </c>
      <c r="AP74">
        <v>178.44</v>
      </c>
      <c r="AQ74">
        <f t="shared" si="3"/>
        <v>85.149837755296815</v>
      </c>
    </row>
    <row r="75" spans="37:43">
      <c r="AK75" s="32">
        <v>8000</v>
      </c>
      <c r="AL75" s="32">
        <v>440</v>
      </c>
      <c r="AM75" s="32" t="s">
        <v>494</v>
      </c>
      <c r="AN75" s="32" t="s">
        <v>565</v>
      </c>
      <c r="AO75" s="32">
        <v>216.33</v>
      </c>
      <c r="AP75">
        <v>185.76</v>
      </c>
      <c r="AQ75">
        <f t="shared" si="3"/>
        <v>85.868811537928153</v>
      </c>
    </row>
    <row r="76" spans="37:43">
      <c r="AK76" s="32">
        <v>8000</v>
      </c>
      <c r="AL76" s="32" t="s">
        <v>17</v>
      </c>
      <c r="AM76" s="32">
        <v>9340</v>
      </c>
      <c r="AN76" s="32" t="s">
        <v>566</v>
      </c>
      <c r="AO76" s="32">
        <v>224.04</v>
      </c>
      <c r="AP76">
        <v>190.79</v>
      </c>
      <c r="AQ76">
        <f t="shared" si="3"/>
        <v>85.158900196393503</v>
      </c>
    </row>
    <row r="77" spans="37:43">
      <c r="AK77" s="32">
        <v>8000</v>
      </c>
      <c r="AL77" s="32">
        <v>540</v>
      </c>
      <c r="AM77" s="32" t="s">
        <v>497</v>
      </c>
      <c r="AN77" s="32" t="s">
        <v>567</v>
      </c>
      <c r="AO77" s="32">
        <v>227.25</v>
      </c>
      <c r="AP77">
        <v>194.84</v>
      </c>
      <c r="AQ77">
        <f t="shared" si="3"/>
        <v>85.738173817381735</v>
      </c>
    </row>
    <row r="78" spans="37:43">
      <c r="AK78" s="32">
        <v>8000</v>
      </c>
      <c r="AL78" s="32" t="s">
        <v>19</v>
      </c>
      <c r="AM78" s="32" t="s">
        <v>499</v>
      </c>
      <c r="AN78" s="32" t="s">
        <v>568</v>
      </c>
      <c r="AO78" s="32">
        <v>221.34</v>
      </c>
      <c r="AP78">
        <v>194.85</v>
      </c>
      <c r="AQ78">
        <f t="shared" si="3"/>
        <v>88.031986988343718</v>
      </c>
    </row>
    <row r="79" spans="37:43">
      <c r="AK79" s="32">
        <v>8000</v>
      </c>
      <c r="AL79" s="32">
        <v>640</v>
      </c>
      <c r="AM79" s="32" t="s">
        <v>501</v>
      </c>
      <c r="AN79" s="32" t="s">
        <v>569</v>
      </c>
      <c r="AO79" s="32">
        <v>228.09</v>
      </c>
      <c r="AP79">
        <v>199.65</v>
      </c>
      <c r="AQ79">
        <f t="shared" si="3"/>
        <v>87.531237669341053</v>
      </c>
    </row>
    <row r="80" spans="37:43">
      <c r="AK80" s="32">
        <v>8000</v>
      </c>
      <c r="AL80" s="32" t="s">
        <v>21</v>
      </c>
      <c r="AM80" s="32" t="s">
        <v>503</v>
      </c>
      <c r="AN80" s="32" t="s">
        <v>570</v>
      </c>
      <c r="AO80" s="32">
        <v>235.27</v>
      </c>
      <c r="AP80">
        <v>200.63</v>
      </c>
      <c r="AQ80">
        <f t="shared" si="3"/>
        <v>85.276490840311126</v>
      </c>
    </row>
    <row r="81" spans="37:43">
      <c r="AK81" s="32">
        <v>8000</v>
      </c>
      <c r="AL81" s="32">
        <v>740</v>
      </c>
      <c r="AM81" s="32" t="s">
        <v>505</v>
      </c>
      <c r="AN81" s="32" t="s">
        <v>571</v>
      </c>
      <c r="AO81" s="32">
        <v>236.13</v>
      </c>
      <c r="AP81">
        <v>200.32</v>
      </c>
      <c r="AQ81">
        <f t="shared" si="3"/>
        <v>84.834624994706303</v>
      </c>
    </row>
    <row r="82" spans="37:43">
      <c r="AK82" s="32">
        <v>8000</v>
      </c>
      <c r="AL82" s="32" t="s">
        <v>23</v>
      </c>
      <c r="AM82" s="32" t="s">
        <v>507</v>
      </c>
      <c r="AN82" s="32" t="s">
        <v>572</v>
      </c>
      <c r="AO82" s="32">
        <v>244.29</v>
      </c>
      <c r="AP82">
        <v>210.33</v>
      </c>
      <c r="AQ82">
        <f t="shared" si="3"/>
        <v>86.098489500184215</v>
      </c>
    </row>
    <row r="83" spans="37:43">
      <c r="AK83" s="32">
        <v>10000</v>
      </c>
      <c r="AL83" s="32" t="s">
        <v>5</v>
      </c>
      <c r="AM83" s="32">
        <v>1740</v>
      </c>
      <c r="AN83" s="32" t="s">
        <v>573</v>
      </c>
      <c r="AO83" s="32">
        <v>132.65</v>
      </c>
      <c r="AP83">
        <v>120.19</v>
      </c>
      <c r="AQ83">
        <f t="shared" si="3"/>
        <v>90.606860158311349</v>
      </c>
    </row>
    <row r="84" spans="37:43">
      <c r="AK84" s="32">
        <v>10000</v>
      </c>
      <c r="AL84" s="32">
        <v>140</v>
      </c>
      <c r="AM84" s="32" t="s">
        <v>485</v>
      </c>
      <c r="AN84" s="32" t="s">
        <v>574</v>
      </c>
      <c r="AO84" s="32">
        <v>153.78</v>
      </c>
      <c r="AP84">
        <v>137.71</v>
      </c>
      <c r="AQ84">
        <f t="shared" si="3"/>
        <v>89.550006502796208</v>
      </c>
    </row>
    <row r="85" spans="37:43">
      <c r="AK85" s="32">
        <v>10000</v>
      </c>
      <c r="AL85" s="32" t="s">
        <v>9</v>
      </c>
      <c r="AM85" s="32">
        <v>3640</v>
      </c>
      <c r="AN85" s="32" t="s">
        <v>575</v>
      </c>
      <c r="AO85" s="32">
        <v>160.19</v>
      </c>
      <c r="AP85">
        <v>146.74</v>
      </c>
      <c r="AQ85">
        <f t="shared" si="3"/>
        <v>91.603720581809114</v>
      </c>
    </row>
    <row r="86" spans="37:43">
      <c r="AK86" s="32">
        <v>10000</v>
      </c>
      <c r="AL86" s="32">
        <v>240</v>
      </c>
      <c r="AM86" s="32" t="s">
        <v>488</v>
      </c>
      <c r="AN86" s="32" t="s">
        <v>576</v>
      </c>
      <c r="AO86" s="32">
        <v>176.17</v>
      </c>
      <c r="AP86">
        <v>156.68</v>
      </c>
      <c r="AQ86">
        <f t="shared" si="3"/>
        <v>88.936822387466663</v>
      </c>
    </row>
    <row r="87" spans="37:43">
      <c r="AK87" s="32">
        <v>10000</v>
      </c>
      <c r="AL87" s="32" t="s">
        <v>13</v>
      </c>
      <c r="AM87" s="32">
        <v>5540</v>
      </c>
      <c r="AN87" s="32" t="s">
        <v>577</v>
      </c>
      <c r="AO87" s="32">
        <v>187.48</v>
      </c>
      <c r="AP87">
        <v>162.91</v>
      </c>
      <c r="AQ87">
        <f t="shared" si="3"/>
        <v>86.894602090889691</v>
      </c>
    </row>
    <row r="88" spans="37:43">
      <c r="AK88" s="32">
        <v>10000</v>
      </c>
      <c r="AL88" s="32">
        <v>340</v>
      </c>
      <c r="AM88" s="32" t="s">
        <v>491</v>
      </c>
      <c r="AN88" s="32" t="s">
        <v>578</v>
      </c>
      <c r="AO88" s="32">
        <v>191.49</v>
      </c>
      <c r="AP88">
        <v>167.43</v>
      </c>
      <c r="AQ88">
        <f t="shared" si="3"/>
        <v>87.435375215415945</v>
      </c>
    </row>
    <row r="89" spans="37:43">
      <c r="AK89" s="32">
        <v>10000</v>
      </c>
      <c r="AL89" s="32" t="s">
        <v>15</v>
      </c>
      <c r="AM89" s="32">
        <v>7440</v>
      </c>
      <c r="AN89" s="32" t="s">
        <v>579</v>
      </c>
      <c r="AO89" s="32">
        <v>198.93</v>
      </c>
      <c r="AP89">
        <v>169.13</v>
      </c>
      <c r="AQ89">
        <f t="shared" si="3"/>
        <v>85.019856230834961</v>
      </c>
    </row>
    <row r="90" spans="37:43">
      <c r="AK90" s="32">
        <v>10000</v>
      </c>
      <c r="AL90" s="32">
        <v>440</v>
      </c>
      <c r="AM90" s="32" t="s">
        <v>494</v>
      </c>
      <c r="AN90" s="32" t="s">
        <v>580</v>
      </c>
      <c r="AO90" s="32">
        <v>209.1</v>
      </c>
      <c r="AP90">
        <v>178.48</v>
      </c>
      <c r="AQ90">
        <f t="shared" si="3"/>
        <v>85.356288857006206</v>
      </c>
    </row>
    <row r="91" spans="37:43">
      <c r="AK91" s="32">
        <v>10000</v>
      </c>
      <c r="AL91" s="32" t="s">
        <v>17</v>
      </c>
      <c r="AM91" s="32">
        <v>9340</v>
      </c>
      <c r="AN91" s="32" t="s">
        <v>581</v>
      </c>
      <c r="AO91" s="32">
        <v>219.3</v>
      </c>
      <c r="AP91">
        <v>184.39</v>
      </c>
      <c r="AQ91">
        <f t="shared" si="3"/>
        <v>84.081167350661175</v>
      </c>
    </row>
    <row r="92" spans="37:43">
      <c r="AK92" s="32">
        <v>10000</v>
      </c>
      <c r="AL92" s="32">
        <v>540</v>
      </c>
      <c r="AM92" s="32" t="s">
        <v>497</v>
      </c>
      <c r="AN92" s="32" t="s">
        <v>582</v>
      </c>
      <c r="AO92" s="32">
        <v>222.3</v>
      </c>
      <c r="AP92">
        <v>188.64</v>
      </c>
      <c r="AQ92">
        <f t="shared" si="3"/>
        <v>84.858299595141702</v>
      </c>
    </row>
    <row r="93" spans="37:43">
      <c r="AK93" s="32">
        <v>10000</v>
      </c>
      <c r="AL93" s="32" t="s">
        <v>19</v>
      </c>
      <c r="AM93" s="32" t="s">
        <v>499</v>
      </c>
      <c r="AN93" s="32" t="s">
        <v>583</v>
      </c>
      <c r="AO93" s="32">
        <v>219.99</v>
      </c>
      <c r="AP93">
        <v>189.75</v>
      </c>
      <c r="AQ93">
        <f t="shared" si="3"/>
        <v>86.253920632756035</v>
      </c>
    </row>
    <row r="94" spans="37:43">
      <c r="AK94" s="32">
        <v>10000</v>
      </c>
      <c r="AL94" s="32">
        <v>640</v>
      </c>
      <c r="AM94" s="32" t="s">
        <v>501</v>
      </c>
      <c r="AN94" s="32" t="s">
        <v>584</v>
      </c>
      <c r="AO94" s="32">
        <v>225.47</v>
      </c>
      <c r="AP94">
        <v>193.58</v>
      </c>
      <c r="AQ94">
        <f t="shared" si="3"/>
        <v>85.856211469375083</v>
      </c>
    </row>
    <row r="95" spans="37:43">
      <c r="AK95" s="32">
        <v>10000</v>
      </c>
      <c r="AL95" s="32" t="s">
        <v>21</v>
      </c>
      <c r="AM95" s="32" t="s">
        <v>503</v>
      </c>
      <c r="AN95" s="32" t="s">
        <v>585</v>
      </c>
      <c r="AO95" s="32">
        <v>230.32</v>
      </c>
      <c r="AP95">
        <v>194.72</v>
      </c>
      <c r="AQ95">
        <f t="shared" si="3"/>
        <v>84.543244182007655</v>
      </c>
    </row>
    <row r="96" spans="37:43">
      <c r="AK96" s="32">
        <v>10000</v>
      </c>
      <c r="AL96" s="32">
        <v>740</v>
      </c>
      <c r="AM96" s="32" t="s">
        <v>505</v>
      </c>
      <c r="AN96" s="32" t="s">
        <v>586</v>
      </c>
      <c r="AO96" s="32">
        <v>231.4</v>
      </c>
      <c r="AP96">
        <v>194.62</v>
      </c>
      <c r="AQ96">
        <f t="shared" si="3"/>
        <v>84.105445116681082</v>
      </c>
    </row>
    <row r="97" spans="37:43">
      <c r="AK97" s="32">
        <v>10000</v>
      </c>
      <c r="AL97" s="32" t="s">
        <v>23</v>
      </c>
      <c r="AM97" s="32" t="s">
        <v>507</v>
      </c>
      <c r="AN97" s="32" t="s">
        <v>587</v>
      </c>
      <c r="AO97" s="32">
        <v>241.46</v>
      </c>
      <c r="AP97">
        <v>207.13</v>
      </c>
      <c r="AQ97">
        <f t="shared" si="3"/>
        <v>85.78232419448355</v>
      </c>
    </row>
  </sheetData>
  <mergeCells count="5">
    <mergeCell ref="B1:F1"/>
    <mergeCell ref="J1:N1"/>
    <mergeCell ref="R1:V1"/>
    <mergeCell ref="AB1:AF1"/>
    <mergeCell ref="AK1:AO1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C2:AL96"/>
  <sheetViews>
    <sheetView topLeftCell="A13" workbookViewId="0">
      <selection activeCell="G1" sqref="G1"/>
    </sheetView>
  </sheetViews>
  <sheetFormatPr defaultRowHeight="14.25"/>
  <cols>
    <col min="16" max="16" width="16" customWidth="1"/>
    <col min="23" max="23" width="11.75" customWidth="1"/>
  </cols>
  <sheetData>
    <row r="2" spans="3:38">
      <c r="C2" s="52" t="s">
        <v>589</v>
      </c>
      <c r="D2" s="52"/>
      <c r="E2" s="52"/>
      <c r="F2" s="52"/>
      <c r="G2" s="52"/>
      <c r="H2" t="s">
        <v>758</v>
      </c>
      <c r="L2" s="52" t="s">
        <v>744</v>
      </c>
      <c r="M2" s="52"/>
      <c r="N2" s="52"/>
      <c r="O2" s="52"/>
      <c r="P2" s="52"/>
      <c r="Q2" s="45"/>
      <c r="R2" s="45"/>
      <c r="T2" s="52" t="s">
        <v>745</v>
      </c>
      <c r="U2" s="52"/>
      <c r="V2" s="52"/>
      <c r="W2" s="52"/>
      <c r="X2" s="52"/>
      <c r="Y2" s="45"/>
      <c r="Z2" s="45"/>
      <c r="AB2" s="52"/>
      <c r="AC2" s="52"/>
      <c r="AD2" s="52"/>
      <c r="AE2" s="52"/>
      <c r="AF2" s="52"/>
      <c r="AH2" s="52"/>
      <c r="AI2" s="52"/>
      <c r="AJ2" s="52"/>
      <c r="AK2" s="52"/>
      <c r="AL2" s="52"/>
    </row>
    <row r="3" spans="3:38" ht="28.5">
      <c r="C3" s="40" t="s">
        <v>25</v>
      </c>
      <c r="D3" s="40" t="s">
        <v>26</v>
      </c>
      <c r="E3" s="40" t="s">
        <v>27</v>
      </c>
      <c r="F3" s="40" t="s">
        <v>28</v>
      </c>
      <c r="G3" s="40" t="s">
        <v>30</v>
      </c>
      <c r="H3" s="49" t="s">
        <v>767</v>
      </c>
      <c r="I3" s="45" t="s">
        <v>759</v>
      </c>
      <c r="L3" s="40" t="s">
        <v>25</v>
      </c>
      <c r="M3" s="40" t="s">
        <v>26</v>
      </c>
      <c r="N3" s="40" t="s">
        <v>27</v>
      </c>
      <c r="O3" s="40" t="s">
        <v>28</v>
      </c>
      <c r="P3" s="40" t="s">
        <v>30</v>
      </c>
      <c r="Q3" s="45" t="s">
        <v>767</v>
      </c>
      <c r="R3" s="45" t="s">
        <v>766</v>
      </c>
      <c r="T3" s="40" t="s">
        <v>25</v>
      </c>
      <c r="U3" s="40" t="s">
        <v>26</v>
      </c>
      <c r="V3" s="40" t="s">
        <v>27</v>
      </c>
      <c r="W3" s="40" t="s">
        <v>28</v>
      </c>
      <c r="X3" s="40" t="s">
        <v>30</v>
      </c>
      <c r="Y3" s="45" t="s">
        <v>767</v>
      </c>
      <c r="Z3" s="45" t="s">
        <v>766</v>
      </c>
      <c r="AB3" s="40"/>
      <c r="AC3" s="40"/>
      <c r="AD3" s="40"/>
      <c r="AE3" s="40"/>
      <c r="AF3" s="40"/>
      <c r="AH3" s="40"/>
      <c r="AI3" s="40"/>
      <c r="AJ3" s="40"/>
      <c r="AK3" s="40"/>
      <c r="AL3" s="40"/>
    </row>
    <row r="4" spans="3:38">
      <c r="C4">
        <v>40</v>
      </c>
      <c r="D4" s="39">
        <v>40</v>
      </c>
      <c r="E4" s="39" t="s">
        <v>0</v>
      </c>
      <c r="F4" s="39" t="s">
        <v>590</v>
      </c>
      <c r="G4" s="39">
        <v>1.44</v>
      </c>
      <c r="H4">
        <v>1.1200000000000001</v>
      </c>
      <c r="I4">
        <f>H4/G4*100</f>
        <v>77.777777777777786</v>
      </c>
      <c r="L4">
        <v>40</v>
      </c>
      <c r="M4" s="39">
        <v>0</v>
      </c>
      <c r="N4" s="39">
        <v>0</v>
      </c>
      <c r="O4" s="39" t="s">
        <v>640</v>
      </c>
      <c r="P4" s="39">
        <v>1.44</v>
      </c>
      <c r="Q4" s="50">
        <v>1.1200000000000001</v>
      </c>
      <c r="R4" s="46">
        <f>Q4/P4*100</f>
        <v>77.777777777777786</v>
      </c>
      <c r="T4">
        <v>800</v>
      </c>
      <c r="U4" s="42">
        <v>40</v>
      </c>
      <c r="V4" s="42" t="s">
        <v>23</v>
      </c>
      <c r="W4" s="42" t="s">
        <v>651</v>
      </c>
      <c r="X4" s="42">
        <v>4.8099999999999996</v>
      </c>
      <c r="Y4">
        <v>3.61</v>
      </c>
      <c r="Z4" s="50">
        <f>Y4/X4*100</f>
        <v>75.051975051975049</v>
      </c>
      <c r="AH4" s="39"/>
      <c r="AI4" s="39"/>
      <c r="AJ4" s="39"/>
      <c r="AK4" s="39"/>
      <c r="AL4" s="39"/>
    </row>
    <row r="5" spans="3:38">
      <c r="C5">
        <v>80</v>
      </c>
      <c r="D5" s="39">
        <v>40</v>
      </c>
      <c r="E5" s="39" t="s">
        <v>0</v>
      </c>
      <c r="F5" s="39" t="s">
        <v>591</v>
      </c>
      <c r="G5" s="39">
        <v>2.41</v>
      </c>
      <c r="H5">
        <v>1.81</v>
      </c>
      <c r="I5">
        <f t="shared" ref="I5:I53" si="0">H5/G5*100</f>
        <v>75.103734439834028</v>
      </c>
      <c r="L5">
        <v>80</v>
      </c>
      <c r="M5" s="39">
        <v>0</v>
      </c>
      <c r="N5" s="39">
        <v>0</v>
      </c>
      <c r="O5" s="39" t="s">
        <v>641</v>
      </c>
      <c r="P5" s="39">
        <v>100.79</v>
      </c>
      <c r="Q5" s="50">
        <v>90.19</v>
      </c>
      <c r="R5" s="46">
        <f t="shared" ref="R5:R14" si="1">Q5/P5*100</f>
        <v>89.483083639249912</v>
      </c>
      <c r="T5">
        <v>800</v>
      </c>
      <c r="U5" s="42" t="s">
        <v>5</v>
      </c>
      <c r="V5" s="42">
        <v>1740</v>
      </c>
      <c r="W5" s="42" t="s">
        <v>652</v>
      </c>
      <c r="X5" s="42">
        <v>9.48</v>
      </c>
      <c r="Y5" s="42">
        <v>7.32</v>
      </c>
      <c r="Z5" s="50">
        <f t="shared" ref="Z5:Z68" si="2">Y5/X5*100</f>
        <v>77.215189873417728</v>
      </c>
    </row>
    <row r="6" spans="3:38">
      <c r="C6" s="44">
        <v>80</v>
      </c>
      <c r="D6" s="42">
        <v>80</v>
      </c>
      <c r="E6" s="42" t="s">
        <v>1</v>
      </c>
      <c r="F6" s="42" t="s">
        <v>592</v>
      </c>
      <c r="G6" s="42">
        <v>37.549999999999997</v>
      </c>
      <c r="H6">
        <v>37.68</v>
      </c>
      <c r="I6">
        <f t="shared" si="0"/>
        <v>100.34620505992011</v>
      </c>
      <c r="L6">
        <v>100</v>
      </c>
      <c r="M6" s="39">
        <v>0</v>
      </c>
      <c r="N6" s="39">
        <v>0</v>
      </c>
      <c r="O6" s="39" t="s">
        <v>642</v>
      </c>
      <c r="P6" s="39">
        <v>199.79</v>
      </c>
      <c r="Q6" s="50">
        <v>179.76</v>
      </c>
      <c r="R6" s="46">
        <f t="shared" si="1"/>
        <v>89.974473196856692</v>
      </c>
      <c r="T6">
        <v>800</v>
      </c>
      <c r="U6" s="39">
        <v>140</v>
      </c>
      <c r="V6" s="39" t="s">
        <v>485</v>
      </c>
      <c r="W6" s="39" t="s">
        <v>653</v>
      </c>
      <c r="X6" s="39">
        <v>15.09</v>
      </c>
      <c r="Y6" s="50">
        <v>11.73</v>
      </c>
      <c r="Z6" s="50">
        <f t="shared" si="2"/>
        <v>77.733598409542751</v>
      </c>
    </row>
    <row r="7" spans="3:38">
      <c r="C7">
        <v>100</v>
      </c>
      <c r="D7" s="39">
        <v>40</v>
      </c>
      <c r="E7" s="39" t="s">
        <v>0</v>
      </c>
      <c r="F7" s="39" t="s">
        <v>593</v>
      </c>
      <c r="G7" s="39">
        <v>4.47</v>
      </c>
      <c r="H7">
        <v>3.38</v>
      </c>
      <c r="I7">
        <f t="shared" si="0"/>
        <v>75.615212527964204</v>
      </c>
      <c r="L7">
        <v>200</v>
      </c>
      <c r="M7" s="39">
        <v>0</v>
      </c>
      <c r="N7" s="39">
        <v>0</v>
      </c>
      <c r="O7" s="39" t="s">
        <v>643</v>
      </c>
      <c r="P7" s="41">
        <v>291.79000000000002</v>
      </c>
      <c r="Q7" s="41">
        <v>300.85000000000002</v>
      </c>
      <c r="R7" s="46">
        <f t="shared" si="1"/>
        <v>103.10497275437815</v>
      </c>
      <c r="T7">
        <v>800</v>
      </c>
      <c r="U7" s="39" t="s">
        <v>9</v>
      </c>
      <c r="V7" s="39">
        <v>3640</v>
      </c>
      <c r="W7" s="39" t="s">
        <v>654</v>
      </c>
      <c r="X7" s="39">
        <v>20</v>
      </c>
      <c r="Y7" s="50">
        <v>15.66</v>
      </c>
      <c r="Z7" s="50">
        <f t="shared" si="2"/>
        <v>78.3</v>
      </c>
    </row>
    <row r="8" spans="3:38">
      <c r="C8">
        <v>100</v>
      </c>
      <c r="D8" s="39">
        <v>80</v>
      </c>
      <c r="E8" s="39" t="s">
        <v>1</v>
      </c>
      <c r="F8" s="39" t="s">
        <v>594</v>
      </c>
      <c r="G8" s="39">
        <v>72.930000000000007</v>
      </c>
      <c r="H8">
        <v>72.569999999999993</v>
      </c>
      <c r="I8">
        <f t="shared" si="0"/>
        <v>99.506375976964193</v>
      </c>
      <c r="L8">
        <v>400</v>
      </c>
      <c r="M8" s="39">
        <v>0</v>
      </c>
      <c r="N8" s="39">
        <v>0</v>
      </c>
      <c r="O8" s="39" t="s">
        <v>644</v>
      </c>
      <c r="P8" s="39">
        <v>277.11</v>
      </c>
      <c r="Q8" s="50">
        <v>288.2</v>
      </c>
      <c r="R8" s="46">
        <f t="shared" si="1"/>
        <v>104.00202085814297</v>
      </c>
      <c r="T8">
        <v>800</v>
      </c>
      <c r="U8" s="39">
        <v>240</v>
      </c>
      <c r="V8" s="39" t="s">
        <v>488</v>
      </c>
      <c r="W8" s="39" t="s">
        <v>655</v>
      </c>
      <c r="X8" s="39">
        <v>27.02</v>
      </c>
      <c r="Y8" s="50">
        <v>21.4</v>
      </c>
      <c r="Z8" s="50">
        <f t="shared" si="2"/>
        <v>79.200592153960031</v>
      </c>
    </row>
    <row r="9" spans="3:38">
      <c r="C9">
        <v>100</v>
      </c>
      <c r="D9" s="39">
        <v>100</v>
      </c>
      <c r="E9" s="39" t="s">
        <v>2</v>
      </c>
      <c r="F9" s="39" t="s">
        <v>595</v>
      </c>
      <c r="G9" s="39">
        <v>72.91</v>
      </c>
      <c r="H9">
        <v>72.58</v>
      </c>
      <c r="I9">
        <f t="shared" si="0"/>
        <v>99.547387189685921</v>
      </c>
      <c r="L9">
        <v>800</v>
      </c>
      <c r="M9" s="39">
        <v>0</v>
      </c>
      <c r="N9" s="39">
        <v>0</v>
      </c>
      <c r="O9" s="39" t="s">
        <v>645</v>
      </c>
      <c r="P9" s="39">
        <v>274.33</v>
      </c>
      <c r="Q9" s="50">
        <v>247.71</v>
      </c>
      <c r="R9" s="46">
        <f t="shared" si="1"/>
        <v>90.296358400466602</v>
      </c>
      <c r="T9">
        <v>800</v>
      </c>
      <c r="U9" s="39" t="s">
        <v>13</v>
      </c>
      <c r="V9" s="39">
        <v>5540</v>
      </c>
      <c r="W9" s="39" t="s">
        <v>656</v>
      </c>
      <c r="X9" s="39">
        <v>29.79</v>
      </c>
      <c r="Y9" s="50">
        <v>23.7</v>
      </c>
      <c r="Z9" s="50">
        <f t="shared" si="2"/>
        <v>79.556898288016114</v>
      </c>
    </row>
    <row r="10" spans="3:38">
      <c r="C10">
        <v>200</v>
      </c>
      <c r="D10" s="39">
        <v>40</v>
      </c>
      <c r="E10" s="39" t="s">
        <v>0</v>
      </c>
      <c r="F10" s="39" t="s">
        <v>596</v>
      </c>
      <c r="G10" s="39">
        <v>4.82</v>
      </c>
      <c r="H10">
        <v>3.6</v>
      </c>
      <c r="I10">
        <f t="shared" si="0"/>
        <v>74.68879668049793</v>
      </c>
      <c r="L10">
        <v>1000</v>
      </c>
      <c r="M10" s="39">
        <v>0</v>
      </c>
      <c r="N10" s="39">
        <v>0</v>
      </c>
      <c r="O10" s="39" t="s">
        <v>646</v>
      </c>
      <c r="P10" s="39">
        <v>270.64999999999998</v>
      </c>
      <c r="Q10" s="50">
        <v>285.62</v>
      </c>
      <c r="R10" s="46">
        <f t="shared" si="1"/>
        <v>105.53112876408647</v>
      </c>
      <c r="T10">
        <v>800</v>
      </c>
      <c r="U10" s="39">
        <v>340</v>
      </c>
      <c r="V10" s="39" t="s">
        <v>491</v>
      </c>
      <c r="W10" s="39" t="s">
        <v>657</v>
      </c>
      <c r="X10" s="39">
        <v>36.840000000000003</v>
      </c>
      <c r="Y10" s="50">
        <v>27.85</v>
      </c>
      <c r="Z10" s="50">
        <f t="shared" si="2"/>
        <v>75.597176981541807</v>
      </c>
    </row>
    <row r="11" spans="3:38">
      <c r="C11" s="44">
        <v>200</v>
      </c>
      <c r="D11" s="42">
        <v>80</v>
      </c>
      <c r="E11" s="42" t="s">
        <v>1</v>
      </c>
      <c r="F11" s="42" t="s">
        <v>597</v>
      </c>
      <c r="G11" s="42">
        <v>134.81</v>
      </c>
      <c r="H11">
        <v>132.97</v>
      </c>
      <c r="I11">
        <f t="shared" si="0"/>
        <v>98.635116089310884</v>
      </c>
      <c r="L11">
        <v>2000</v>
      </c>
      <c r="M11" s="39">
        <v>0</v>
      </c>
      <c r="N11" s="39">
        <v>0</v>
      </c>
      <c r="O11" s="39" t="s">
        <v>647</v>
      </c>
      <c r="P11" s="39">
        <v>269.48</v>
      </c>
      <c r="Q11" s="50">
        <v>279.97000000000003</v>
      </c>
      <c r="R11" s="46">
        <f t="shared" si="1"/>
        <v>103.89268220276087</v>
      </c>
      <c r="T11">
        <v>800</v>
      </c>
      <c r="U11" s="39" t="s">
        <v>15</v>
      </c>
      <c r="V11" s="39">
        <v>7440</v>
      </c>
      <c r="W11" s="39" t="s">
        <v>658</v>
      </c>
      <c r="X11" s="39">
        <v>55.32</v>
      </c>
      <c r="Y11" s="50">
        <v>44.94</v>
      </c>
      <c r="Z11" s="50">
        <f t="shared" si="2"/>
        <v>81.23644251626898</v>
      </c>
    </row>
    <row r="12" spans="3:38">
      <c r="C12">
        <v>200</v>
      </c>
      <c r="D12" s="39">
        <v>100</v>
      </c>
      <c r="E12" s="39" t="s">
        <v>2</v>
      </c>
      <c r="F12" s="39" t="s">
        <v>598</v>
      </c>
      <c r="G12" s="39">
        <v>133.59</v>
      </c>
      <c r="H12">
        <v>131.52000000000001</v>
      </c>
      <c r="I12">
        <f t="shared" si="0"/>
        <v>98.4504828205704</v>
      </c>
      <c r="L12">
        <v>4000</v>
      </c>
      <c r="M12" s="39">
        <v>0</v>
      </c>
      <c r="N12" s="39">
        <v>0</v>
      </c>
      <c r="O12" s="39" t="s">
        <v>648</v>
      </c>
      <c r="P12" s="39">
        <v>269.45</v>
      </c>
      <c r="Q12" s="50">
        <v>275.17</v>
      </c>
      <c r="R12" s="46">
        <f t="shared" si="1"/>
        <v>102.12284282798294</v>
      </c>
      <c r="T12">
        <v>800</v>
      </c>
      <c r="U12" s="39">
        <v>440</v>
      </c>
      <c r="V12" s="39" t="s">
        <v>494</v>
      </c>
      <c r="W12" s="39" t="s">
        <v>659</v>
      </c>
      <c r="X12" s="39">
        <v>57.92</v>
      </c>
      <c r="Y12" s="50">
        <v>47.54</v>
      </c>
      <c r="Z12" s="50">
        <f t="shared" si="2"/>
        <v>82.078729281767949</v>
      </c>
    </row>
    <row r="13" spans="3:38">
      <c r="C13">
        <v>200</v>
      </c>
      <c r="D13" s="39">
        <v>200</v>
      </c>
      <c r="E13" s="39" t="s">
        <v>3</v>
      </c>
      <c r="F13" s="39" t="s">
        <v>599</v>
      </c>
      <c r="G13" s="39">
        <v>135.16999999999999</v>
      </c>
      <c r="H13">
        <v>132.79</v>
      </c>
      <c r="I13">
        <f t="shared" si="0"/>
        <v>98.23925427239773</v>
      </c>
      <c r="L13">
        <v>8000</v>
      </c>
      <c r="M13" s="39">
        <v>0</v>
      </c>
      <c r="N13" s="39">
        <v>0</v>
      </c>
      <c r="O13" s="39" t="s">
        <v>649</v>
      </c>
      <c r="P13" s="39">
        <v>269.51</v>
      </c>
      <c r="Q13" s="50">
        <v>281.26</v>
      </c>
      <c r="R13" s="46">
        <f t="shared" si="1"/>
        <v>104.35976401617751</v>
      </c>
      <c r="T13">
        <v>800</v>
      </c>
      <c r="U13" s="39" t="s">
        <v>17</v>
      </c>
      <c r="V13" s="39">
        <v>9340</v>
      </c>
      <c r="W13" s="39" t="s">
        <v>660</v>
      </c>
      <c r="X13" s="39">
        <v>57.47</v>
      </c>
      <c r="Y13" s="50">
        <v>46.6</v>
      </c>
      <c r="Z13" s="50">
        <f t="shared" si="2"/>
        <v>81.085783887245526</v>
      </c>
    </row>
    <row r="14" spans="3:38">
      <c r="C14">
        <v>400</v>
      </c>
      <c r="D14" s="39">
        <v>40</v>
      </c>
      <c r="E14" s="39" t="s">
        <v>0</v>
      </c>
      <c r="F14" s="39" t="s">
        <v>600</v>
      </c>
      <c r="G14" s="39">
        <v>4.8499999999999996</v>
      </c>
      <c r="H14">
        <v>3.59</v>
      </c>
      <c r="I14">
        <f t="shared" si="0"/>
        <v>74.020618556701038</v>
      </c>
      <c r="L14">
        <v>10000</v>
      </c>
      <c r="M14" s="39">
        <v>0</v>
      </c>
      <c r="N14" s="39">
        <v>0</v>
      </c>
      <c r="O14" s="39" t="s">
        <v>650</v>
      </c>
      <c r="P14" s="39">
        <v>269.52</v>
      </c>
      <c r="Q14" s="50">
        <v>284.05</v>
      </c>
      <c r="R14" s="46">
        <f t="shared" si="1"/>
        <v>105.39106559810034</v>
      </c>
      <c r="T14">
        <v>800</v>
      </c>
      <c r="U14" s="39">
        <v>540</v>
      </c>
      <c r="V14" s="39" t="s">
        <v>497</v>
      </c>
      <c r="W14" s="39" t="s">
        <v>661</v>
      </c>
      <c r="X14" s="39">
        <v>54.24</v>
      </c>
      <c r="Y14" s="50">
        <v>46.26</v>
      </c>
      <c r="Z14" s="50">
        <f t="shared" si="2"/>
        <v>85.287610619469021</v>
      </c>
    </row>
    <row r="15" spans="3:38">
      <c r="C15" s="44">
        <v>400</v>
      </c>
      <c r="D15" s="42">
        <v>80</v>
      </c>
      <c r="E15" s="42" t="s">
        <v>1</v>
      </c>
      <c r="F15" s="42" t="s">
        <v>601</v>
      </c>
      <c r="G15" s="42">
        <v>227.66</v>
      </c>
      <c r="H15">
        <v>227.52</v>
      </c>
      <c r="I15">
        <f t="shared" si="0"/>
        <v>99.938504787841524</v>
      </c>
      <c r="T15">
        <v>800</v>
      </c>
      <c r="U15" s="39" t="s">
        <v>19</v>
      </c>
      <c r="V15" s="39" t="s">
        <v>499</v>
      </c>
      <c r="W15" s="39" t="s">
        <v>662</v>
      </c>
      <c r="X15" s="39">
        <v>56.92</v>
      </c>
      <c r="Y15" s="50">
        <v>46.71</v>
      </c>
      <c r="Z15" s="50">
        <f t="shared" si="2"/>
        <v>82.062543921293042</v>
      </c>
    </row>
    <row r="16" spans="3:38">
      <c r="C16">
        <v>400</v>
      </c>
      <c r="D16" s="39">
        <v>100</v>
      </c>
      <c r="E16" s="39" t="s">
        <v>2</v>
      </c>
      <c r="F16" s="39" t="s">
        <v>602</v>
      </c>
      <c r="G16" s="39">
        <v>124.53</v>
      </c>
      <c r="H16">
        <v>129.30000000000001</v>
      </c>
      <c r="I16">
        <f t="shared" si="0"/>
        <v>103.83040231269574</v>
      </c>
      <c r="T16">
        <v>800</v>
      </c>
      <c r="U16" s="39">
        <v>640</v>
      </c>
      <c r="V16" s="39" t="s">
        <v>501</v>
      </c>
      <c r="W16" s="39" t="s">
        <v>663</v>
      </c>
      <c r="X16" s="39">
        <v>55.42</v>
      </c>
      <c r="Y16" s="50">
        <v>45.95</v>
      </c>
      <c r="Z16" s="50">
        <f t="shared" si="2"/>
        <v>82.912306026705167</v>
      </c>
    </row>
    <row r="17" spans="3:26">
      <c r="C17">
        <v>400</v>
      </c>
      <c r="D17" s="39">
        <v>200</v>
      </c>
      <c r="E17" s="39" t="s">
        <v>3</v>
      </c>
      <c r="F17" s="39" t="s">
        <v>603</v>
      </c>
      <c r="G17" s="39">
        <v>161.47</v>
      </c>
      <c r="H17">
        <v>119.95</v>
      </c>
      <c r="I17">
        <f t="shared" si="0"/>
        <v>74.286245122933053</v>
      </c>
      <c r="T17">
        <v>800</v>
      </c>
      <c r="U17" s="39" t="s">
        <v>21</v>
      </c>
      <c r="V17" s="39" t="s">
        <v>503</v>
      </c>
      <c r="W17" s="39" t="s">
        <v>664</v>
      </c>
      <c r="X17" s="39">
        <v>54.23</v>
      </c>
      <c r="Y17" s="50">
        <v>44.03</v>
      </c>
      <c r="Z17" s="50">
        <f t="shared" si="2"/>
        <v>81.191222570532915</v>
      </c>
    </row>
    <row r="18" spans="3:26">
      <c r="C18">
        <v>400</v>
      </c>
      <c r="D18" s="39">
        <v>400</v>
      </c>
      <c r="E18" s="39">
        <v>45880</v>
      </c>
      <c r="F18" s="39" t="s">
        <v>604</v>
      </c>
      <c r="G18" s="39">
        <v>227.85</v>
      </c>
      <c r="H18">
        <v>226.32</v>
      </c>
      <c r="I18">
        <f t="shared" si="0"/>
        <v>99.328505595786694</v>
      </c>
      <c r="T18">
        <v>800</v>
      </c>
      <c r="U18" s="39">
        <v>740</v>
      </c>
      <c r="V18" s="39" t="s">
        <v>505</v>
      </c>
      <c r="W18" s="39" t="s">
        <v>665</v>
      </c>
      <c r="X18" s="39">
        <v>52.38</v>
      </c>
      <c r="Y18" s="50">
        <v>46</v>
      </c>
      <c r="Z18" s="50">
        <f t="shared" si="2"/>
        <v>87.819778541428022</v>
      </c>
    </row>
    <row r="19" spans="3:26">
      <c r="C19">
        <v>800</v>
      </c>
      <c r="D19" s="39">
        <v>40</v>
      </c>
      <c r="E19" s="39" t="s">
        <v>0</v>
      </c>
      <c r="F19" s="39" t="s">
        <v>605</v>
      </c>
      <c r="G19" s="39">
        <v>4.8600000000000003</v>
      </c>
      <c r="H19">
        <v>3.6</v>
      </c>
      <c r="I19">
        <f t="shared" si="0"/>
        <v>74.074074074074076</v>
      </c>
      <c r="T19">
        <v>800</v>
      </c>
      <c r="U19" s="39" t="s">
        <v>23</v>
      </c>
      <c r="V19" s="39" t="s">
        <v>507</v>
      </c>
      <c r="W19" s="39" t="s">
        <v>666</v>
      </c>
      <c r="X19" s="39">
        <v>59.02</v>
      </c>
      <c r="Y19" s="50">
        <v>47.54</v>
      </c>
      <c r="Z19" s="50">
        <f t="shared" si="2"/>
        <v>80.548966452050138</v>
      </c>
    </row>
    <row r="20" spans="3:26">
      <c r="C20" s="44">
        <v>800</v>
      </c>
      <c r="D20" s="42">
        <v>80</v>
      </c>
      <c r="E20" s="42" t="s">
        <v>1</v>
      </c>
      <c r="F20" s="42" t="s">
        <v>606</v>
      </c>
      <c r="G20" s="42">
        <v>267.56</v>
      </c>
      <c r="H20">
        <v>249.96</v>
      </c>
      <c r="I20">
        <f t="shared" si="0"/>
        <v>93.422036178801022</v>
      </c>
      <c r="T20">
        <v>1000</v>
      </c>
      <c r="U20" s="42">
        <v>40</v>
      </c>
      <c r="V20" s="42" t="s">
        <v>23</v>
      </c>
      <c r="W20" s="42" t="s">
        <v>667</v>
      </c>
      <c r="X20" s="42">
        <v>4.84</v>
      </c>
      <c r="Y20" s="42">
        <v>3.63</v>
      </c>
      <c r="Z20" s="50">
        <f t="shared" si="2"/>
        <v>75</v>
      </c>
    </row>
    <row r="21" spans="3:26">
      <c r="C21">
        <v>800</v>
      </c>
      <c r="D21" s="39">
        <v>100</v>
      </c>
      <c r="E21" s="39" t="s">
        <v>2</v>
      </c>
      <c r="F21" s="39" t="s">
        <v>607</v>
      </c>
      <c r="G21" s="39">
        <v>125.41</v>
      </c>
      <c r="H21">
        <v>133.04</v>
      </c>
      <c r="I21">
        <f t="shared" si="0"/>
        <v>106.08404433458256</v>
      </c>
      <c r="T21">
        <v>1000</v>
      </c>
      <c r="U21" s="42" t="s">
        <v>5</v>
      </c>
      <c r="V21" s="42">
        <v>1740</v>
      </c>
      <c r="W21" s="42" t="s">
        <v>668</v>
      </c>
      <c r="X21" s="42">
        <v>8.98</v>
      </c>
      <c r="Y21" s="42">
        <v>6.88</v>
      </c>
      <c r="Z21" s="50">
        <f t="shared" si="2"/>
        <v>76.614699331848541</v>
      </c>
    </row>
    <row r="22" spans="3:26">
      <c r="C22">
        <v>800</v>
      </c>
      <c r="D22" s="39">
        <v>200</v>
      </c>
      <c r="E22" s="39" t="s">
        <v>3</v>
      </c>
      <c r="F22" s="39" t="s">
        <v>608</v>
      </c>
      <c r="G22" s="39">
        <v>140.56</v>
      </c>
      <c r="H22">
        <v>134.38999999999999</v>
      </c>
      <c r="I22">
        <f t="shared" si="0"/>
        <v>95.610415480933398</v>
      </c>
      <c r="T22">
        <v>1000</v>
      </c>
      <c r="U22" s="39">
        <v>140</v>
      </c>
      <c r="V22" s="39" t="s">
        <v>485</v>
      </c>
      <c r="W22" s="39" t="s">
        <v>669</v>
      </c>
      <c r="X22" s="39">
        <v>15.13</v>
      </c>
      <c r="Y22" s="50">
        <v>11.9</v>
      </c>
      <c r="Z22" s="50">
        <f t="shared" si="2"/>
        <v>78.651685393258433</v>
      </c>
    </row>
    <row r="23" spans="3:26">
      <c r="C23">
        <v>800</v>
      </c>
      <c r="D23" s="39">
        <v>400</v>
      </c>
      <c r="E23" s="39">
        <v>45880</v>
      </c>
      <c r="F23" s="39" t="s">
        <v>609</v>
      </c>
      <c r="G23" s="39">
        <v>145.93</v>
      </c>
      <c r="H23">
        <v>139.57</v>
      </c>
      <c r="I23">
        <f t="shared" si="0"/>
        <v>95.641746042623168</v>
      </c>
      <c r="T23">
        <v>1000</v>
      </c>
      <c r="U23" s="39" t="s">
        <v>9</v>
      </c>
      <c r="V23" s="39">
        <v>3640</v>
      </c>
      <c r="W23" s="39" t="s">
        <v>670</v>
      </c>
      <c r="X23" s="39">
        <v>16.52</v>
      </c>
      <c r="Y23" s="50">
        <v>12.9</v>
      </c>
      <c r="Z23" s="50">
        <f t="shared" si="2"/>
        <v>78.087167070217916</v>
      </c>
    </row>
    <row r="24" spans="3:26">
      <c r="C24">
        <v>800</v>
      </c>
      <c r="D24" s="39">
        <v>800</v>
      </c>
      <c r="E24" s="39">
        <v>45480</v>
      </c>
      <c r="F24" s="39" t="s">
        <v>610</v>
      </c>
      <c r="G24" s="39">
        <v>273.5</v>
      </c>
      <c r="H24">
        <v>247.12</v>
      </c>
      <c r="I24">
        <f t="shared" si="0"/>
        <v>90.354661791590502</v>
      </c>
      <c r="T24">
        <v>1000</v>
      </c>
      <c r="U24" s="39">
        <v>240</v>
      </c>
      <c r="V24" s="39" t="s">
        <v>488</v>
      </c>
      <c r="W24" s="39" t="s">
        <v>671</v>
      </c>
      <c r="X24" s="39">
        <v>28.02</v>
      </c>
      <c r="Y24" s="50">
        <v>21.9</v>
      </c>
      <c r="Z24" s="50">
        <f t="shared" si="2"/>
        <v>78.158458244111344</v>
      </c>
    </row>
    <row r="25" spans="3:26">
      <c r="C25">
        <v>1000</v>
      </c>
      <c r="D25" s="39">
        <v>40</v>
      </c>
      <c r="E25" s="39" t="s">
        <v>0</v>
      </c>
      <c r="F25" s="39" t="s">
        <v>611</v>
      </c>
      <c r="G25" s="39">
        <v>4.8499999999999996</v>
      </c>
      <c r="H25">
        <v>3.63</v>
      </c>
      <c r="I25">
        <f t="shared" si="0"/>
        <v>74.845360824742272</v>
      </c>
      <c r="T25">
        <v>1000</v>
      </c>
      <c r="U25" s="39" t="s">
        <v>13</v>
      </c>
      <c r="V25" s="39">
        <v>5540</v>
      </c>
      <c r="W25" s="39" t="s">
        <v>672</v>
      </c>
      <c r="X25" s="39">
        <v>25.31</v>
      </c>
      <c r="Y25" s="50">
        <v>19.45</v>
      </c>
      <c r="Z25" s="50">
        <f t="shared" si="2"/>
        <v>76.847096009482414</v>
      </c>
    </row>
    <row r="26" spans="3:26">
      <c r="C26" s="44">
        <v>1000</v>
      </c>
      <c r="D26" s="42">
        <v>80</v>
      </c>
      <c r="E26" s="42" t="s">
        <v>1</v>
      </c>
      <c r="F26" s="42" t="s">
        <v>612</v>
      </c>
      <c r="G26" s="42">
        <v>269.75</v>
      </c>
      <c r="H26">
        <v>281.94</v>
      </c>
      <c r="I26">
        <f t="shared" si="0"/>
        <v>104.51899907321594</v>
      </c>
      <c r="T26">
        <v>1000</v>
      </c>
      <c r="U26" s="39">
        <v>340</v>
      </c>
      <c r="V26" s="39" t="s">
        <v>491</v>
      </c>
      <c r="W26" s="39" t="s">
        <v>673</v>
      </c>
      <c r="X26" s="39">
        <v>38.47</v>
      </c>
      <c r="Y26" s="50">
        <v>31.09</v>
      </c>
      <c r="Z26" s="50">
        <f t="shared" si="2"/>
        <v>80.816220431505073</v>
      </c>
    </row>
    <row r="27" spans="3:26">
      <c r="C27">
        <v>1000</v>
      </c>
      <c r="D27" s="39">
        <v>100</v>
      </c>
      <c r="E27" s="39" t="s">
        <v>2</v>
      </c>
      <c r="F27" s="39" t="s">
        <v>613</v>
      </c>
      <c r="G27" s="39">
        <v>137.03</v>
      </c>
      <c r="H27">
        <v>140.05000000000001</v>
      </c>
      <c r="I27">
        <f t="shared" si="0"/>
        <v>102.20389695687078</v>
      </c>
      <c r="T27">
        <v>1000</v>
      </c>
      <c r="U27" s="39" t="s">
        <v>15</v>
      </c>
      <c r="V27" s="39">
        <v>7440</v>
      </c>
      <c r="W27" s="39" t="s">
        <v>674</v>
      </c>
      <c r="X27" s="39">
        <v>54.78</v>
      </c>
      <c r="Y27" s="50">
        <v>44.74</v>
      </c>
      <c r="Z27" s="50">
        <f t="shared" si="2"/>
        <v>81.672143117926254</v>
      </c>
    </row>
    <row r="28" spans="3:26">
      <c r="C28">
        <v>1000</v>
      </c>
      <c r="D28" s="39">
        <v>200</v>
      </c>
      <c r="E28" s="39" t="s">
        <v>3</v>
      </c>
      <c r="F28" s="39" t="s">
        <v>614</v>
      </c>
      <c r="G28" s="39">
        <v>203.73</v>
      </c>
      <c r="H28">
        <v>177.05</v>
      </c>
      <c r="I28">
        <f t="shared" si="0"/>
        <v>86.904235998625651</v>
      </c>
      <c r="T28">
        <v>1000</v>
      </c>
      <c r="U28" s="39">
        <v>440</v>
      </c>
      <c r="V28" s="39" t="s">
        <v>494</v>
      </c>
      <c r="W28" s="39" t="s">
        <v>675</v>
      </c>
      <c r="X28" s="39">
        <v>56.95</v>
      </c>
      <c r="Y28" s="50">
        <v>46.88</v>
      </c>
      <c r="Z28" s="50">
        <f t="shared" si="2"/>
        <v>82.317822651448637</v>
      </c>
    </row>
    <row r="29" spans="3:26">
      <c r="C29">
        <v>1000</v>
      </c>
      <c r="D29" s="39">
        <v>400</v>
      </c>
      <c r="E29" s="39">
        <v>45880</v>
      </c>
      <c r="F29" s="39" t="s">
        <v>615</v>
      </c>
      <c r="G29" s="39">
        <v>203.53</v>
      </c>
      <c r="H29">
        <v>192.46</v>
      </c>
      <c r="I29">
        <f t="shared" si="0"/>
        <v>94.560998378617413</v>
      </c>
      <c r="T29">
        <v>1000</v>
      </c>
      <c r="U29" s="39" t="s">
        <v>17</v>
      </c>
      <c r="V29" s="39">
        <v>9340</v>
      </c>
      <c r="W29" s="39" t="s">
        <v>676</v>
      </c>
      <c r="X29" s="39">
        <v>56.17</v>
      </c>
      <c r="Y29" s="50">
        <v>46.16</v>
      </c>
      <c r="Z29" s="50">
        <f t="shared" si="2"/>
        <v>82.179099163254392</v>
      </c>
    </row>
    <row r="30" spans="3:26">
      <c r="C30">
        <v>1000</v>
      </c>
      <c r="D30" s="39">
        <v>800</v>
      </c>
      <c r="E30" s="39">
        <v>45480</v>
      </c>
      <c r="F30" s="39" t="s">
        <v>616</v>
      </c>
      <c r="G30" s="39">
        <v>284.22000000000003</v>
      </c>
      <c r="H30">
        <v>290.48</v>
      </c>
      <c r="I30">
        <f t="shared" si="0"/>
        <v>102.20251917528675</v>
      </c>
      <c r="T30">
        <v>1000</v>
      </c>
      <c r="U30" s="39">
        <v>540</v>
      </c>
      <c r="V30" s="39" t="s">
        <v>497</v>
      </c>
      <c r="W30" s="39" t="s">
        <v>677</v>
      </c>
      <c r="X30" s="39">
        <v>55.83</v>
      </c>
      <c r="Y30" s="50">
        <v>46.35</v>
      </c>
      <c r="Z30" s="50">
        <f t="shared" si="2"/>
        <v>83.019881783987103</v>
      </c>
    </row>
    <row r="31" spans="3:26">
      <c r="C31">
        <v>2000</v>
      </c>
      <c r="D31" s="39">
        <v>40</v>
      </c>
      <c r="E31" s="39" t="s">
        <v>0</v>
      </c>
      <c r="F31" s="39" t="s">
        <v>617</v>
      </c>
      <c r="G31" s="39">
        <v>4.8099999999999996</v>
      </c>
      <c r="H31">
        <v>3.61</v>
      </c>
      <c r="I31">
        <f t="shared" si="0"/>
        <v>75.051975051975049</v>
      </c>
      <c r="T31">
        <v>1000</v>
      </c>
      <c r="U31" s="39" t="s">
        <v>19</v>
      </c>
      <c r="V31" s="39" t="s">
        <v>499</v>
      </c>
      <c r="W31" s="39" t="s">
        <v>678</v>
      </c>
      <c r="X31" s="39">
        <v>91.96</v>
      </c>
      <c r="Y31" s="50">
        <v>80.430000000000007</v>
      </c>
      <c r="Z31" s="50">
        <f t="shared" si="2"/>
        <v>87.461939973901721</v>
      </c>
    </row>
    <row r="32" spans="3:26">
      <c r="C32" s="44">
        <v>2000</v>
      </c>
      <c r="D32" s="42">
        <v>80</v>
      </c>
      <c r="E32" s="42" t="s">
        <v>1</v>
      </c>
      <c r="F32" s="42" t="s">
        <v>618</v>
      </c>
      <c r="G32" s="42">
        <v>271.79000000000002</v>
      </c>
      <c r="H32">
        <v>282.38</v>
      </c>
      <c r="I32">
        <f t="shared" si="0"/>
        <v>103.89639059568047</v>
      </c>
      <c r="T32">
        <v>1000</v>
      </c>
      <c r="U32" s="39">
        <v>640</v>
      </c>
      <c r="V32" s="39" t="s">
        <v>501</v>
      </c>
      <c r="W32" s="39" t="s">
        <v>679</v>
      </c>
      <c r="X32" s="39">
        <v>91.05</v>
      </c>
      <c r="Y32" s="50">
        <v>79.88</v>
      </c>
      <c r="Z32" s="50">
        <f t="shared" si="2"/>
        <v>87.732015376166942</v>
      </c>
    </row>
    <row r="33" spans="3:26">
      <c r="C33">
        <v>2000</v>
      </c>
      <c r="D33" s="39">
        <v>100</v>
      </c>
      <c r="E33" s="39" t="s">
        <v>2</v>
      </c>
      <c r="F33" s="39" t="s">
        <v>619</v>
      </c>
      <c r="G33" s="39">
        <v>283.44</v>
      </c>
      <c r="H33">
        <v>167.77</v>
      </c>
      <c r="I33">
        <f t="shared" si="0"/>
        <v>59.190657634772791</v>
      </c>
      <c r="T33">
        <v>1000</v>
      </c>
      <c r="U33" s="39" t="s">
        <v>21</v>
      </c>
      <c r="V33" s="39" t="s">
        <v>503</v>
      </c>
      <c r="W33" s="39" t="s">
        <v>680</v>
      </c>
      <c r="X33" s="39">
        <v>90.09</v>
      </c>
      <c r="Y33" s="50">
        <v>78.7</v>
      </c>
      <c r="Z33" s="50">
        <f t="shared" si="2"/>
        <v>87.357087357087366</v>
      </c>
    </row>
    <row r="34" spans="3:26">
      <c r="C34">
        <v>2000</v>
      </c>
      <c r="D34" s="39">
        <v>200</v>
      </c>
      <c r="E34" s="39" t="s">
        <v>3</v>
      </c>
      <c r="F34" s="39" t="s">
        <v>620</v>
      </c>
      <c r="G34" s="39">
        <v>278.81</v>
      </c>
      <c r="H34">
        <v>272.5</v>
      </c>
      <c r="I34">
        <f t="shared" si="0"/>
        <v>97.73681001398802</v>
      </c>
      <c r="T34">
        <v>1000</v>
      </c>
      <c r="U34" s="39">
        <v>740</v>
      </c>
      <c r="V34" s="39" t="s">
        <v>505</v>
      </c>
      <c r="W34" s="39" t="s">
        <v>681</v>
      </c>
      <c r="X34" s="39">
        <v>81.88</v>
      </c>
      <c r="Y34" s="50">
        <v>70.44</v>
      </c>
      <c r="Z34" s="50">
        <f t="shared" si="2"/>
        <v>86.028334147532988</v>
      </c>
    </row>
    <row r="35" spans="3:26">
      <c r="C35">
        <v>2000</v>
      </c>
      <c r="D35" s="39">
        <v>400</v>
      </c>
      <c r="E35" s="39">
        <v>45880</v>
      </c>
      <c r="F35" s="39" t="s">
        <v>621</v>
      </c>
      <c r="G35" s="39">
        <v>234.25</v>
      </c>
      <c r="H35">
        <v>226.39</v>
      </c>
      <c r="I35">
        <f t="shared" si="0"/>
        <v>96.644610458911416</v>
      </c>
      <c r="T35">
        <v>1000</v>
      </c>
      <c r="U35" s="39" t="s">
        <v>23</v>
      </c>
      <c r="V35" s="39" t="s">
        <v>507</v>
      </c>
      <c r="W35" s="39" t="s">
        <v>682</v>
      </c>
      <c r="X35" s="39">
        <v>92.55</v>
      </c>
      <c r="Y35" s="50">
        <v>79.95</v>
      </c>
      <c r="Z35" s="50">
        <f t="shared" si="2"/>
        <v>86.385737439222041</v>
      </c>
    </row>
    <row r="36" spans="3:26">
      <c r="C36">
        <v>2000</v>
      </c>
      <c r="D36" s="39">
        <v>800</v>
      </c>
      <c r="E36" s="39">
        <v>45480</v>
      </c>
      <c r="F36" s="39" t="s">
        <v>622</v>
      </c>
      <c r="G36" s="39">
        <v>274.97000000000003</v>
      </c>
      <c r="H36">
        <v>279.76</v>
      </c>
      <c r="I36">
        <f t="shared" si="0"/>
        <v>101.74200821907844</v>
      </c>
      <c r="T36">
        <v>2000</v>
      </c>
      <c r="U36" s="42">
        <v>40</v>
      </c>
      <c r="V36" s="42" t="s">
        <v>23</v>
      </c>
      <c r="W36" s="42" t="s">
        <v>683</v>
      </c>
      <c r="X36" s="42">
        <v>4.0999999999999996</v>
      </c>
      <c r="Y36" s="42">
        <v>3.13</v>
      </c>
      <c r="Z36" s="50">
        <f t="shared" si="2"/>
        <v>76.341463414634148</v>
      </c>
    </row>
    <row r="37" spans="3:26">
      <c r="C37">
        <v>4000</v>
      </c>
      <c r="D37" s="39">
        <v>40</v>
      </c>
      <c r="E37" s="39" t="s">
        <v>0</v>
      </c>
      <c r="F37" s="39" t="s">
        <v>623</v>
      </c>
      <c r="G37" s="39">
        <v>4.5599999999999996</v>
      </c>
      <c r="H37">
        <v>3.62</v>
      </c>
      <c r="I37">
        <f t="shared" si="0"/>
        <v>79.385964912280713</v>
      </c>
      <c r="T37">
        <v>2000</v>
      </c>
      <c r="U37" s="42" t="s">
        <v>5</v>
      </c>
      <c r="V37" s="42">
        <v>1740</v>
      </c>
      <c r="W37" s="42" t="s">
        <v>684</v>
      </c>
      <c r="X37" s="42">
        <v>9.0500000000000007</v>
      </c>
      <c r="Y37" s="42">
        <v>6.97</v>
      </c>
      <c r="Z37" s="50">
        <f t="shared" si="2"/>
        <v>77.016574585635354</v>
      </c>
    </row>
    <row r="38" spans="3:26">
      <c r="C38" s="44">
        <v>4000</v>
      </c>
      <c r="D38" s="42">
        <v>80</v>
      </c>
      <c r="E38" s="42" t="s">
        <v>1</v>
      </c>
      <c r="F38" s="42" t="s">
        <v>624</v>
      </c>
      <c r="G38" s="42">
        <v>269.66000000000003</v>
      </c>
      <c r="H38">
        <v>284.83</v>
      </c>
      <c r="I38">
        <f t="shared" si="0"/>
        <v>105.62560261069494</v>
      </c>
      <c r="T38">
        <v>2000</v>
      </c>
      <c r="U38" s="39">
        <v>140</v>
      </c>
      <c r="V38" s="39" t="s">
        <v>485</v>
      </c>
      <c r="W38" s="39" t="s">
        <v>685</v>
      </c>
      <c r="X38" s="39">
        <v>17.2</v>
      </c>
      <c r="Y38" s="50">
        <v>13.45</v>
      </c>
      <c r="Z38" s="50">
        <f t="shared" si="2"/>
        <v>78.197674418604649</v>
      </c>
    </row>
    <row r="39" spans="3:26">
      <c r="C39">
        <v>4000</v>
      </c>
      <c r="D39" s="39">
        <v>100</v>
      </c>
      <c r="E39" s="39" t="s">
        <v>2</v>
      </c>
      <c r="F39" s="39" t="s">
        <v>625</v>
      </c>
      <c r="G39" s="39">
        <v>283.54000000000002</v>
      </c>
      <c r="H39">
        <v>295.35000000000002</v>
      </c>
      <c r="I39">
        <f t="shared" si="0"/>
        <v>104.16519715031389</v>
      </c>
      <c r="T39">
        <v>2000</v>
      </c>
      <c r="U39" s="39" t="s">
        <v>9</v>
      </c>
      <c r="V39" s="39">
        <v>3640</v>
      </c>
      <c r="W39" s="39" t="s">
        <v>686</v>
      </c>
      <c r="X39" s="39">
        <v>17.13</v>
      </c>
      <c r="Y39" s="50">
        <v>13.33</v>
      </c>
      <c r="Z39" s="50">
        <f t="shared" si="2"/>
        <v>77.816695855224765</v>
      </c>
    </row>
    <row r="40" spans="3:26">
      <c r="C40">
        <v>4000</v>
      </c>
      <c r="D40" s="39">
        <v>200</v>
      </c>
      <c r="E40" s="39" t="s">
        <v>3</v>
      </c>
      <c r="F40" s="39" t="s">
        <v>626</v>
      </c>
      <c r="G40" s="39">
        <v>272.68</v>
      </c>
      <c r="H40">
        <v>281.67</v>
      </c>
      <c r="I40">
        <f t="shared" si="0"/>
        <v>103.29690479683144</v>
      </c>
      <c r="T40">
        <v>2000</v>
      </c>
      <c r="U40" s="39">
        <v>240</v>
      </c>
      <c r="V40" s="39" t="s">
        <v>488</v>
      </c>
      <c r="W40" s="39" t="s">
        <v>687</v>
      </c>
      <c r="X40" s="39">
        <v>31.3</v>
      </c>
      <c r="Y40" s="50">
        <v>24.27</v>
      </c>
      <c r="Z40" s="50">
        <f t="shared" si="2"/>
        <v>77.539936102236425</v>
      </c>
    </row>
    <row r="41" spans="3:26">
      <c r="C41">
        <v>4000</v>
      </c>
      <c r="D41" s="39">
        <v>400</v>
      </c>
      <c r="E41" s="39">
        <v>45880</v>
      </c>
      <c r="F41" s="39" t="s">
        <v>627</v>
      </c>
      <c r="G41" s="43">
        <v>284.54000000000002</v>
      </c>
      <c r="H41">
        <v>295.94</v>
      </c>
      <c r="I41">
        <f t="shared" si="0"/>
        <v>104.00646657763406</v>
      </c>
      <c r="T41">
        <v>2000</v>
      </c>
      <c r="U41" s="39" t="s">
        <v>13</v>
      </c>
      <c r="V41" s="39">
        <v>5540</v>
      </c>
      <c r="W41" s="39" t="s">
        <v>688</v>
      </c>
      <c r="X41" s="39">
        <v>26.67</v>
      </c>
      <c r="Y41" s="50">
        <v>20.61</v>
      </c>
      <c r="Z41" s="50">
        <f t="shared" si="2"/>
        <v>77.277840269966248</v>
      </c>
    </row>
    <row r="42" spans="3:26">
      <c r="C42">
        <v>4000</v>
      </c>
      <c r="D42" s="39">
        <v>800</v>
      </c>
      <c r="E42" s="39">
        <v>45480</v>
      </c>
      <c r="F42" s="39" t="s">
        <v>628</v>
      </c>
      <c r="G42" s="39">
        <v>282.43</v>
      </c>
      <c r="H42">
        <v>293.35000000000002</v>
      </c>
      <c r="I42">
        <f t="shared" si="0"/>
        <v>103.86644478277805</v>
      </c>
      <c r="T42">
        <v>2000</v>
      </c>
      <c r="U42" s="39">
        <v>340</v>
      </c>
      <c r="V42" s="39" t="s">
        <v>491</v>
      </c>
      <c r="W42" s="39" t="s">
        <v>689</v>
      </c>
      <c r="X42" s="39">
        <v>32.159999999999997</v>
      </c>
      <c r="Y42" s="50">
        <v>25.87</v>
      </c>
      <c r="Z42" s="50">
        <f t="shared" si="2"/>
        <v>80.441542288557216</v>
      </c>
    </row>
    <row r="43" spans="3:26">
      <c r="C43">
        <v>8000</v>
      </c>
      <c r="D43" s="39">
        <v>40</v>
      </c>
      <c r="E43" s="39" t="s">
        <v>0</v>
      </c>
      <c r="F43" s="39" t="s">
        <v>629</v>
      </c>
      <c r="G43" s="39">
        <v>4.26</v>
      </c>
      <c r="H43">
        <v>3.59</v>
      </c>
      <c r="I43">
        <f t="shared" si="0"/>
        <v>84.272300469483568</v>
      </c>
      <c r="T43">
        <v>2000</v>
      </c>
      <c r="U43" s="39" t="s">
        <v>15</v>
      </c>
      <c r="V43" s="39">
        <v>7440</v>
      </c>
      <c r="W43" s="39" t="s">
        <v>690</v>
      </c>
      <c r="X43" s="39">
        <v>55.67</v>
      </c>
      <c r="Y43" s="50">
        <v>45.81</v>
      </c>
      <c r="Z43" s="50">
        <f t="shared" si="2"/>
        <v>82.288485719418006</v>
      </c>
    </row>
    <row r="44" spans="3:26">
      <c r="C44" s="44">
        <v>8000</v>
      </c>
      <c r="D44" s="42">
        <v>80</v>
      </c>
      <c r="E44" s="42" t="s">
        <v>1</v>
      </c>
      <c r="F44" s="42" t="s">
        <v>630</v>
      </c>
      <c r="G44" s="42">
        <v>269.85000000000002</v>
      </c>
      <c r="H44">
        <v>284.57</v>
      </c>
      <c r="I44">
        <f t="shared" si="0"/>
        <v>105.45488234204186</v>
      </c>
      <c r="T44">
        <v>2000</v>
      </c>
      <c r="U44" s="39">
        <v>440</v>
      </c>
      <c r="V44" s="39" t="s">
        <v>494</v>
      </c>
      <c r="W44" s="39" t="s">
        <v>691</v>
      </c>
      <c r="X44" s="39">
        <v>56.02</v>
      </c>
      <c r="Y44" s="50">
        <v>46.37</v>
      </c>
      <c r="Z44" s="50">
        <f t="shared" si="2"/>
        <v>82.774009282399135</v>
      </c>
    </row>
    <row r="45" spans="3:26">
      <c r="C45">
        <v>8000</v>
      </c>
      <c r="D45" s="39">
        <v>100</v>
      </c>
      <c r="E45" s="39" t="s">
        <v>2</v>
      </c>
      <c r="F45" s="39" t="s">
        <v>631</v>
      </c>
      <c r="G45" s="39">
        <v>283.66000000000003</v>
      </c>
      <c r="H45">
        <v>295.37</v>
      </c>
      <c r="I45">
        <f t="shared" si="0"/>
        <v>104.12818162589015</v>
      </c>
      <c r="T45">
        <v>2000</v>
      </c>
      <c r="U45" s="39" t="s">
        <v>17</v>
      </c>
      <c r="V45" s="39">
        <v>9340</v>
      </c>
      <c r="W45" s="39" t="s">
        <v>692</v>
      </c>
      <c r="X45" s="39">
        <v>68.87</v>
      </c>
      <c r="Y45" s="50">
        <v>58.22</v>
      </c>
      <c r="Z45" s="50">
        <f t="shared" si="2"/>
        <v>84.536082474226788</v>
      </c>
    </row>
    <row r="46" spans="3:26">
      <c r="C46">
        <v>8000</v>
      </c>
      <c r="D46" s="39">
        <v>200</v>
      </c>
      <c r="E46" s="39" t="s">
        <v>3</v>
      </c>
      <c r="F46" s="39" t="s">
        <v>632</v>
      </c>
      <c r="G46" s="39">
        <v>273.01</v>
      </c>
      <c r="H46">
        <v>281.95</v>
      </c>
      <c r="I46">
        <f t="shared" si="0"/>
        <v>103.27460532581223</v>
      </c>
      <c r="T46">
        <v>2000</v>
      </c>
      <c r="U46" s="39">
        <v>540</v>
      </c>
      <c r="V46" s="39" t="s">
        <v>497</v>
      </c>
      <c r="W46" s="39" t="s">
        <v>693</v>
      </c>
      <c r="X46" s="39">
        <v>68.569999999999993</v>
      </c>
      <c r="Y46" s="50">
        <v>55.85</v>
      </c>
      <c r="Z46" s="50">
        <f t="shared" si="2"/>
        <v>81.449613533615292</v>
      </c>
    </row>
    <row r="47" spans="3:26">
      <c r="C47">
        <v>8000</v>
      </c>
      <c r="D47" s="39">
        <v>400</v>
      </c>
      <c r="E47" s="39">
        <v>45880</v>
      </c>
      <c r="F47" s="39" t="s">
        <v>633</v>
      </c>
      <c r="G47" s="41">
        <v>285.08</v>
      </c>
      <c r="H47">
        <v>296.2</v>
      </c>
      <c r="I47">
        <f t="shared" si="0"/>
        <v>103.9006594640101</v>
      </c>
      <c r="T47">
        <v>2000</v>
      </c>
      <c r="U47" s="39" t="s">
        <v>19</v>
      </c>
      <c r="V47" s="39" t="s">
        <v>499</v>
      </c>
      <c r="W47" s="39" t="s">
        <v>694</v>
      </c>
      <c r="X47" s="39">
        <v>69.45</v>
      </c>
      <c r="Y47" s="50">
        <v>58.68</v>
      </c>
      <c r="Z47" s="50">
        <f t="shared" si="2"/>
        <v>84.492440604751621</v>
      </c>
    </row>
    <row r="48" spans="3:26">
      <c r="C48">
        <v>8000</v>
      </c>
      <c r="D48" s="39">
        <v>800</v>
      </c>
      <c r="E48" s="39">
        <v>45480</v>
      </c>
      <c r="F48" s="39" t="s">
        <v>634</v>
      </c>
      <c r="G48" s="39">
        <v>282.77999999999997</v>
      </c>
      <c r="H48">
        <v>294.58</v>
      </c>
      <c r="I48">
        <f t="shared" si="0"/>
        <v>104.17285522314165</v>
      </c>
      <c r="T48">
        <v>2000</v>
      </c>
      <c r="U48" s="39">
        <v>640</v>
      </c>
      <c r="V48" s="39" t="s">
        <v>501</v>
      </c>
      <c r="W48" s="39" t="s">
        <v>695</v>
      </c>
      <c r="X48" s="39">
        <v>68.84</v>
      </c>
      <c r="Y48" s="50">
        <v>58.52</v>
      </c>
      <c r="Z48" s="50">
        <f t="shared" si="2"/>
        <v>85.008715862870417</v>
      </c>
    </row>
    <row r="49" spans="3:26">
      <c r="C49" s="44">
        <v>10000</v>
      </c>
      <c r="D49" s="42">
        <v>80</v>
      </c>
      <c r="E49" s="42" t="s">
        <v>1</v>
      </c>
      <c r="F49" s="42" t="s">
        <v>635</v>
      </c>
      <c r="G49" s="42">
        <v>269.81</v>
      </c>
      <c r="H49">
        <v>284.69</v>
      </c>
      <c r="I49">
        <f t="shared" si="0"/>
        <v>105.51499203142953</v>
      </c>
      <c r="T49">
        <v>2000</v>
      </c>
      <c r="U49" s="39" t="s">
        <v>21</v>
      </c>
      <c r="V49" s="39" t="s">
        <v>503</v>
      </c>
      <c r="W49" s="39" t="s">
        <v>696</v>
      </c>
      <c r="X49" s="39">
        <v>89.96</v>
      </c>
      <c r="Y49" s="50">
        <v>78.36</v>
      </c>
      <c r="Z49" s="50">
        <f t="shared" si="2"/>
        <v>87.10538016896399</v>
      </c>
    </row>
    <row r="50" spans="3:26">
      <c r="C50">
        <v>10000</v>
      </c>
      <c r="D50" s="39">
        <v>100</v>
      </c>
      <c r="E50" s="39" t="s">
        <v>2</v>
      </c>
      <c r="F50" s="39" t="s">
        <v>636</v>
      </c>
      <c r="G50" s="39">
        <v>284.47000000000003</v>
      </c>
      <c r="H50">
        <v>296.11</v>
      </c>
      <c r="I50">
        <f t="shared" si="0"/>
        <v>104.09181987555804</v>
      </c>
      <c r="T50">
        <v>2000</v>
      </c>
      <c r="U50" s="39">
        <v>740</v>
      </c>
      <c r="V50" s="39" t="s">
        <v>505</v>
      </c>
      <c r="W50" s="39" t="s">
        <v>697</v>
      </c>
      <c r="X50" s="39">
        <v>84.26</v>
      </c>
      <c r="Y50" s="50">
        <v>71.62</v>
      </c>
      <c r="Z50" s="50">
        <f t="shared" si="2"/>
        <v>84.998813197246619</v>
      </c>
    </row>
    <row r="51" spans="3:26">
      <c r="C51">
        <v>10000</v>
      </c>
      <c r="D51" s="39">
        <v>200</v>
      </c>
      <c r="E51" s="39" t="s">
        <v>3</v>
      </c>
      <c r="F51" s="39" t="s">
        <v>637</v>
      </c>
      <c r="G51" s="39">
        <v>270.27</v>
      </c>
      <c r="H51">
        <v>284.97000000000003</v>
      </c>
      <c r="I51">
        <f t="shared" si="0"/>
        <v>105.43900543900546</v>
      </c>
      <c r="T51">
        <v>2000</v>
      </c>
      <c r="U51" s="39" t="s">
        <v>23</v>
      </c>
      <c r="V51" s="39" t="s">
        <v>507</v>
      </c>
      <c r="W51" s="39" t="s">
        <v>698</v>
      </c>
      <c r="X51" s="39">
        <v>92.72</v>
      </c>
      <c r="Y51" s="50">
        <v>80.72</v>
      </c>
      <c r="Z51" s="50">
        <f t="shared" si="2"/>
        <v>87.057808455565151</v>
      </c>
    </row>
    <row r="52" spans="3:26">
      <c r="C52">
        <v>10000</v>
      </c>
      <c r="D52" s="39">
        <v>400</v>
      </c>
      <c r="E52" s="39">
        <v>45880</v>
      </c>
      <c r="F52" s="39" t="s">
        <v>638</v>
      </c>
      <c r="G52" s="39">
        <v>283.75</v>
      </c>
      <c r="H52">
        <v>295.48</v>
      </c>
      <c r="I52">
        <f t="shared" si="0"/>
        <v>104.13392070484582</v>
      </c>
      <c r="T52">
        <v>4000</v>
      </c>
      <c r="U52" s="42">
        <v>40</v>
      </c>
      <c r="V52" s="42" t="s">
        <v>23</v>
      </c>
      <c r="W52" s="42" t="s">
        <v>699</v>
      </c>
      <c r="X52" s="42">
        <v>3.04</v>
      </c>
      <c r="Y52" s="42">
        <v>2.33</v>
      </c>
      <c r="Z52" s="50">
        <f t="shared" si="2"/>
        <v>76.64473684210526</v>
      </c>
    </row>
    <row r="53" spans="3:26">
      <c r="C53">
        <v>10000</v>
      </c>
      <c r="D53" s="39">
        <v>800</v>
      </c>
      <c r="E53" s="39">
        <v>45480</v>
      </c>
      <c r="F53" s="39" t="s">
        <v>639</v>
      </c>
      <c r="G53" s="39">
        <v>283</v>
      </c>
      <c r="H53">
        <v>294.35000000000002</v>
      </c>
      <c r="I53">
        <f t="shared" si="0"/>
        <v>104.0106007067138</v>
      </c>
      <c r="T53">
        <v>4000</v>
      </c>
      <c r="U53" s="42" t="s">
        <v>5</v>
      </c>
      <c r="V53" s="42">
        <v>1740</v>
      </c>
      <c r="W53" s="42" t="s">
        <v>700</v>
      </c>
      <c r="X53" s="42">
        <v>8.6999999999999993</v>
      </c>
      <c r="Y53" s="42">
        <v>6.72</v>
      </c>
      <c r="Z53" s="50">
        <f t="shared" si="2"/>
        <v>77.241379310344826</v>
      </c>
    </row>
    <row r="54" spans="3:26">
      <c r="T54">
        <v>4000</v>
      </c>
      <c r="U54" s="39">
        <v>140</v>
      </c>
      <c r="V54" s="39" t="s">
        <v>485</v>
      </c>
      <c r="W54" s="39" t="s">
        <v>701</v>
      </c>
      <c r="X54" s="39">
        <v>17.309999999999999</v>
      </c>
      <c r="Y54" s="50">
        <v>12.76</v>
      </c>
      <c r="Z54" s="50">
        <f t="shared" si="2"/>
        <v>73.714615829000579</v>
      </c>
    </row>
    <row r="55" spans="3:26">
      <c r="T55">
        <v>4000</v>
      </c>
      <c r="U55" s="39" t="s">
        <v>9</v>
      </c>
      <c r="V55" s="39">
        <v>3640</v>
      </c>
      <c r="W55" s="39" t="s">
        <v>702</v>
      </c>
      <c r="X55" s="39">
        <v>17.309999999999999</v>
      </c>
      <c r="Y55" s="50">
        <v>13.1</v>
      </c>
      <c r="Z55" s="50">
        <f t="shared" si="2"/>
        <v>75.678798382437904</v>
      </c>
    </row>
    <row r="56" spans="3:26">
      <c r="T56">
        <v>4000</v>
      </c>
      <c r="U56" s="39">
        <v>240</v>
      </c>
      <c r="V56" s="39" t="s">
        <v>488</v>
      </c>
      <c r="W56" s="39" t="s">
        <v>703</v>
      </c>
      <c r="X56" s="39">
        <v>30.53</v>
      </c>
      <c r="Y56" s="50">
        <v>23.17</v>
      </c>
      <c r="Z56" s="50">
        <f t="shared" si="2"/>
        <v>75.89256469046839</v>
      </c>
    </row>
    <row r="57" spans="3:26">
      <c r="T57">
        <v>4000</v>
      </c>
      <c r="U57" s="39" t="s">
        <v>13</v>
      </c>
      <c r="V57" s="39">
        <v>5540</v>
      </c>
      <c r="W57" s="39" t="s">
        <v>704</v>
      </c>
      <c r="X57" s="39">
        <v>25.07</v>
      </c>
      <c r="Y57" s="50">
        <v>19.350000000000001</v>
      </c>
      <c r="Z57" s="50">
        <f t="shared" si="2"/>
        <v>77.183885121659358</v>
      </c>
    </row>
    <row r="58" spans="3:26">
      <c r="T58">
        <v>4000</v>
      </c>
      <c r="U58" s="39">
        <v>340</v>
      </c>
      <c r="V58" s="39" t="s">
        <v>491</v>
      </c>
      <c r="W58" s="39" t="s">
        <v>705</v>
      </c>
      <c r="X58" s="39">
        <v>31.16</v>
      </c>
      <c r="Y58" s="50">
        <v>24.49</v>
      </c>
      <c r="Z58" s="50">
        <f t="shared" si="2"/>
        <v>78.594351732991015</v>
      </c>
    </row>
    <row r="59" spans="3:26">
      <c r="T59">
        <v>4000</v>
      </c>
      <c r="U59" s="39" t="s">
        <v>15</v>
      </c>
      <c r="V59" s="39">
        <v>7440</v>
      </c>
      <c r="W59" s="39" t="s">
        <v>706</v>
      </c>
      <c r="X59" s="39">
        <v>51.63</v>
      </c>
      <c r="Y59" s="50">
        <v>41.95</v>
      </c>
      <c r="Z59" s="50">
        <f t="shared" si="2"/>
        <v>81.251210536509788</v>
      </c>
    </row>
    <row r="60" spans="3:26">
      <c r="T60">
        <v>4000</v>
      </c>
      <c r="U60" s="39">
        <v>440</v>
      </c>
      <c r="V60" s="39" t="s">
        <v>494</v>
      </c>
      <c r="W60" s="39" t="s">
        <v>707</v>
      </c>
      <c r="X60" s="39">
        <v>55.56</v>
      </c>
      <c r="Y60" s="50">
        <v>45.34</v>
      </c>
      <c r="Z60" s="50">
        <f t="shared" si="2"/>
        <v>81.605471562275028</v>
      </c>
    </row>
    <row r="61" spans="3:26">
      <c r="T61">
        <v>4000</v>
      </c>
      <c r="U61" s="39" t="s">
        <v>17</v>
      </c>
      <c r="V61" s="39">
        <v>9340</v>
      </c>
      <c r="W61" s="39" t="s">
        <v>708</v>
      </c>
      <c r="X61" s="39">
        <v>61.46</v>
      </c>
      <c r="Y61" s="50">
        <v>50.62</v>
      </c>
      <c r="Z61" s="50">
        <f t="shared" si="2"/>
        <v>82.362512203058884</v>
      </c>
    </row>
    <row r="62" spans="3:26">
      <c r="T62">
        <v>4000</v>
      </c>
      <c r="U62" s="39">
        <v>540</v>
      </c>
      <c r="V62" s="39" t="s">
        <v>497</v>
      </c>
      <c r="W62" s="39" t="s">
        <v>709</v>
      </c>
      <c r="X62" s="39">
        <v>70.040000000000006</v>
      </c>
      <c r="Y62" s="50">
        <v>57.9</v>
      </c>
      <c r="Z62" s="50">
        <f t="shared" si="2"/>
        <v>82.667047401484865</v>
      </c>
    </row>
    <row r="63" spans="3:26">
      <c r="T63">
        <v>4000</v>
      </c>
      <c r="U63" s="39" t="s">
        <v>19</v>
      </c>
      <c r="V63" s="39" t="s">
        <v>499</v>
      </c>
      <c r="W63" s="39" t="s">
        <v>710</v>
      </c>
      <c r="X63" s="39">
        <v>69.8</v>
      </c>
      <c r="Y63" s="50">
        <v>57.95</v>
      </c>
      <c r="Z63" s="50">
        <f t="shared" si="2"/>
        <v>83.022922636103161</v>
      </c>
    </row>
    <row r="64" spans="3:26">
      <c r="T64">
        <v>4000</v>
      </c>
      <c r="U64" s="39">
        <v>640</v>
      </c>
      <c r="V64" s="39" t="s">
        <v>501</v>
      </c>
      <c r="W64" s="39" t="s">
        <v>711</v>
      </c>
      <c r="X64" s="39">
        <v>78.61</v>
      </c>
      <c r="Y64" s="50">
        <v>65.709999999999994</v>
      </c>
      <c r="Z64" s="50">
        <f t="shared" si="2"/>
        <v>83.58987406182419</v>
      </c>
    </row>
    <row r="65" spans="20:26">
      <c r="T65">
        <v>4000</v>
      </c>
      <c r="U65" s="39" t="s">
        <v>21</v>
      </c>
      <c r="V65" s="39" t="s">
        <v>503</v>
      </c>
      <c r="W65" s="39" t="s">
        <v>712</v>
      </c>
      <c r="X65" s="39">
        <v>79.540000000000006</v>
      </c>
      <c r="Y65" s="50">
        <v>66.510000000000005</v>
      </c>
      <c r="Z65" s="50">
        <f t="shared" si="2"/>
        <v>83.618305255217493</v>
      </c>
    </row>
    <row r="66" spans="20:26">
      <c r="T66">
        <v>4000</v>
      </c>
      <c r="U66" s="39">
        <v>740</v>
      </c>
      <c r="V66" s="39" t="s">
        <v>505</v>
      </c>
      <c r="W66" s="39" t="s">
        <v>713</v>
      </c>
      <c r="X66" s="39">
        <v>87.69</v>
      </c>
      <c r="Y66" s="50">
        <v>72.540000000000006</v>
      </c>
      <c r="Z66" s="50">
        <f t="shared" si="2"/>
        <v>82.7232295586726</v>
      </c>
    </row>
    <row r="67" spans="20:26">
      <c r="T67">
        <v>4000</v>
      </c>
      <c r="U67" s="39" t="s">
        <v>23</v>
      </c>
      <c r="V67" s="39" t="s">
        <v>507</v>
      </c>
      <c r="W67" s="39" t="s">
        <v>714</v>
      </c>
      <c r="X67" s="39">
        <v>93.7</v>
      </c>
      <c r="Y67" s="50">
        <v>80.16</v>
      </c>
      <c r="Z67" s="50">
        <f t="shared" si="2"/>
        <v>85.549626467449301</v>
      </c>
    </row>
    <row r="68" spans="20:26">
      <c r="T68">
        <v>8000</v>
      </c>
      <c r="U68" s="42">
        <v>40</v>
      </c>
      <c r="V68" s="42" t="s">
        <v>23</v>
      </c>
      <c r="W68" s="42" t="s">
        <v>715</v>
      </c>
      <c r="X68" s="42">
        <v>2.7</v>
      </c>
      <c r="Y68" s="42">
        <v>2.0499999999999998</v>
      </c>
      <c r="Z68" s="50">
        <f t="shared" si="2"/>
        <v>75.925925925925924</v>
      </c>
    </row>
    <row r="69" spans="20:26">
      <c r="T69">
        <v>8000</v>
      </c>
      <c r="U69" s="42" t="s">
        <v>5</v>
      </c>
      <c r="V69" s="42">
        <v>1740</v>
      </c>
      <c r="W69" s="42" t="s">
        <v>716</v>
      </c>
      <c r="X69" s="42">
        <v>6.65</v>
      </c>
      <c r="Y69" s="42">
        <v>5.17</v>
      </c>
      <c r="Z69" s="50">
        <f t="shared" ref="Z69:Z96" si="3">Y69/X69*100</f>
        <v>77.744360902255636</v>
      </c>
    </row>
    <row r="70" spans="20:26">
      <c r="T70">
        <v>8000</v>
      </c>
      <c r="U70" s="39">
        <v>140</v>
      </c>
      <c r="V70" s="39" t="s">
        <v>485</v>
      </c>
      <c r="W70" s="39" t="s">
        <v>717</v>
      </c>
      <c r="X70" s="39">
        <v>14.01</v>
      </c>
      <c r="Y70" s="50">
        <v>11.1</v>
      </c>
      <c r="Z70" s="50">
        <f t="shared" si="3"/>
        <v>79.229122055674523</v>
      </c>
    </row>
    <row r="71" spans="20:26">
      <c r="T71">
        <v>8000</v>
      </c>
      <c r="U71" s="39" t="s">
        <v>9</v>
      </c>
      <c r="V71" s="39">
        <v>3640</v>
      </c>
      <c r="W71" s="39" t="s">
        <v>718</v>
      </c>
      <c r="X71" s="39">
        <v>15.55</v>
      </c>
      <c r="Y71" s="50">
        <v>12.62</v>
      </c>
      <c r="Z71" s="50">
        <f t="shared" si="3"/>
        <v>81.15755627009645</v>
      </c>
    </row>
    <row r="72" spans="20:26">
      <c r="T72">
        <v>8000</v>
      </c>
      <c r="U72" s="39">
        <v>240</v>
      </c>
      <c r="V72" s="39" t="s">
        <v>488</v>
      </c>
      <c r="W72" s="39" t="s">
        <v>719</v>
      </c>
      <c r="X72" s="39">
        <v>26.53</v>
      </c>
      <c r="Y72" s="50">
        <v>20.88</v>
      </c>
      <c r="Z72" s="50">
        <f t="shared" si="3"/>
        <v>78.703354692800602</v>
      </c>
    </row>
    <row r="73" spans="20:26">
      <c r="T73">
        <v>8000</v>
      </c>
      <c r="U73" s="39" t="s">
        <v>13</v>
      </c>
      <c r="V73" s="39">
        <v>5540</v>
      </c>
      <c r="W73" s="39" t="s">
        <v>720</v>
      </c>
      <c r="X73" s="39">
        <v>23.24</v>
      </c>
      <c r="Y73" s="50">
        <v>19.010000000000002</v>
      </c>
      <c r="Z73" s="50">
        <f t="shared" si="3"/>
        <v>81.798623063683323</v>
      </c>
    </row>
    <row r="74" spans="20:26">
      <c r="T74">
        <v>8000</v>
      </c>
      <c r="U74" s="39">
        <v>340</v>
      </c>
      <c r="V74" s="39" t="s">
        <v>491</v>
      </c>
      <c r="W74" s="39" t="s">
        <v>721</v>
      </c>
      <c r="X74" s="39">
        <v>33.82</v>
      </c>
      <c r="Y74" s="50">
        <v>26.32</v>
      </c>
      <c r="Z74" s="50">
        <f t="shared" si="3"/>
        <v>77.82377291543466</v>
      </c>
    </row>
    <row r="75" spans="20:26">
      <c r="T75">
        <v>8000</v>
      </c>
      <c r="U75" s="39" t="s">
        <v>15</v>
      </c>
      <c r="V75" s="39">
        <v>7440</v>
      </c>
      <c r="W75" s="39" t="s">
        <v>722</v>
      </c>
      <c r="X75" s="39">
        <v>45.9</v>
      </c>
      <c r="Y75" s="50">
        <v>36.03</v>
      </c>
      <c r="Z75" s="50">
        <f t="shared" si="3"/>
        <v>78.496732026143803</v>
      </c>
    </row>
    <row r="76" spans="20:26">
      <c r="T76">
        <v>8000</v>
      </c>
      <c r="U76" s="39">
        <v>440</v>
      </c>
      <c r="V76" s="39" t="s">
        <v>494</v>
      </c>
      <c r="W76" s="39" t="s">
        <v>723</v>
      </c>
      <c r="X76" s="39">
        <v>55.48</v>
      </c>
      <c r="Y76" s="50">
        <v>45.7</v>
      </c>
      <c r="Z76" s="50">
        <f t="shared" si="3"/>
        <v>82.372025955299222</v>
      </c>
    </row>
    <row r="77" spans="20:26">
      <c r="T77">
        <v>8000</v>
      </c>
      <c r="U77" s="39" t="s">
        <v>17</v>
      </c>
      <c r="V77" s="39">
        <v>9340</v>
      </c>
      <c r="W77" s="39" t="s">
        <v>724</v>
      </c>
      <c r="X77" s="39">
        <v>63.56</v>
      </c>
      <c r="Y77" s="50">
        <v>52.15</v>
      </c>
      <c r="Z77" s="50">
        <f t="shared" si="3"/>
        <v>82.048458149779734</v>
      </c>
    </row>
    <row r="78" spans="20:26">
      <c r="T78">
        <v>8000</v>
      </c>
      <c r="U78" s="39">
        <v>540</v>
      </c>
      <c r="V78" s="39" t="s">
        <v>497</v>
      </c>
      <c r="W78" s="39" t="s">
        <v>725</v>
      </c>
      <c r="X78" s="39">
        <v>67.92</v>
      </c>
      <c r="Y78" s="50">
        <v>55.37</v>
      </c>
      <c r="Z78" s="50">
        <f t="shared" si="3"/>
        <v>81.522379269729086</v>
      </c>
    </row>
    <row r="79" spans="20:26">
      <c r="T79">
        <v>8000</v>
      </c>
      <c r="U79" s="39" t="s">
        <v>19</v>
      </c>
      <c r="V79" s="39" t="s">
        <v>499</v>
      </c>
      <c r="W79" s="39" t="s">
        <v>726</v>
      </c>
      <c r="X79" s="39">
        <v>71.510000000000005</v>
      </c>
      <c r="Y79" s="50">
        <v>59.57</v>
      </c>
      <c r="Z79" s="50">
        <f t="shared" si="3"/>
        <v>83.303034540623685</v>
      </c>
    </row>
    <row r="80" spans="20:26">
      <c r="T80">
        <v>8000</v>
      </c>
      <c r="U80" s="39">
        <v>640</v>
      </c>
      <c r="V80" s="39" t="s">
        <v>501</v>
      </c>
      <c r="W80" s="39" t="s">
        <v>727</v>
      </c>
      <c r="X80" s="39">
        <v>76.959999999999994</v>
      </c>
      <c r="Y80" s="50">
        <v>63.81</v>
      </c>
      <c r="Z80" s="50">
        <f t="shared" si="3"/>
        <v>82.913201663201676</v>
      </c>
    </row>
    <row r="81" spans="20:26">
      <c r="T81">
        <v>8000</v>
      </c>
      <c r="U81" s="39" t="s">
        <v>21</v>
      </c>
      <c r="V81" s="39" t="s">
        <v>503</v>
      </c>
      <c r="W81" s="39" t="s">
        <v>728</v>
      </c>
      <c r="X81" s="39">
        <v>83.73</v>
      </c>
      <c r="Y81" s="50">
        <v>69.84</v>
      </c>
      <c r="Z81" s="50">
        <f t="shared" si="3"/>
        <v>83.410963812253669</v>
      </c>
    </row>
    <row r="82" spans="20:26">
      <c r="T82">
        <v>8000</v>
      </c>
      <c r="U82" s="39">
        <v>740</v>
      </c>
      <c r="V82" s="39" t="s">
        <v>505</v>
      </c>
      <c r="W82" s="39" t="s">
        <v>729</v>
      </c>
      <c r="X82" s="39">
        <v>84.12</v>
      </c>
      <c r="Y82" s="50">
        <v>70.260000000000005</v>
      </c>
      <c r="Z82" s="50">
        <f t="shared" si="3"/>
        <v>83.523537803138368</v>
      </c>
    </row>
    <row r="83" spans="20:26">
      <c r="T83">
        <v>8000</v>
      </c>
      <c r="U83" s="39" t="s">
        <v>23</v>
      </c>
      <c r="V83" s="39" t="s">
        <v>507</v>
      </c>
      <c r="W83" s="39" t="s">
        <v>730</v>
      </c>
      <c r="X83" s="39">
        <v>93.9</v>
      </c>
      <c r="Y83" s="50">
        <v>79.63</v>
      </c>
      <c r="Z83" s="50">
        <f t="shared" si="3"/>
        <v>84.80298189563365</v>
      </c>
    </row>
    <row r="84" spans="20:26">
      <c r="T84">
        <v>10000</v>
      </c>
      <c r="U84" s="42" t="s">
        <v>5</v>
      </c>
      <c r="V84" s="42">
        <v>1740</v>
      </c>
      <c r="W84" s="42" t="s">
        <v>731</v>
      </c>
      <c r="X84" s="42">
        <v>5.98</v>
      </c>
      <c r="Y84" s="42">
        <v>4.6900000000000004</v>
      </c>
      <c r="Z84" s="50">
        <f t="shared" si="3"/>
        <v>78.42809364548495</v>
      </c>
    </row>
    <row r="85" spans="20:26">
      <c r="T85">
        <v>10000</v>
      </c>
      <c r="U85" s="39">
        <v>140</v>
      </c>
      <c r="V85" s="39" t="s">
        <v>485</v>
      </c>
      <c r="W85" s="39" t="s">
        <v>732</v>
      </c>
      <c r="X85" s="39">
        <v>10.33</v>
      </c>
      <c r="Y85" s="50">
        <v>8.27</v>
      </c>
      <c r="Z85" s="50">
        <f t="shared" si="3"/>
        <v>80.058083252662144</v>
      </c>
    </row>
    <row r="86" spans="20:26">
      <c r="T86">
        <v>10000</v>
      </c>
      <c r="U86" s="39" t="s">
        <v>9</v>
      </c>
      <c r="V86" s="39">
        <v>3640</v>
      </c>
      <c r="W86" s="39" t="s">
        <v>733</v>
      </c>
      <c r="X86" s="39">
        <v>11.04</v>
      </c>
      <c r="Y86" s="50">
        <v>9.1</v>
      </c>
      <c r="Z86" s="50">
        <f t="shared" si="3"/>
        <v>82.427536231884062</v>
      </c>
    </row>
    <row r="87" spans="20:26">
      <c r="T87">
        <v>10000</v>
      </c>
      <c r="U87" s="39">
        <v>240</v>
      </c>
      <c r="V87" s="39" t="s">
        <v>488</v>
      </c>
      <c r="W87" s="39" t="s">
        <v>734</v>
      </c>
      <c r="X87" s="39">
        <v>19.22</v>
      </c>
      <c r="Y87" s="50">
        <v>15.82</v>
      </c>
      <c r="Z87" s="50">
        <f t="shared" si="3"/>
        <v>82.310093652445374</v>
      </c>
    </row>
    <row r="88" spans="20:26">
      <c r="T88">
        <v>10000</v>
      </c>
      <c r="U88" s="39" t="s">
        <v>13</v>
      </c>
      <c r="V88" s="39">
        <v>5540</v>
      </c>
      <c r="W88" s="39" t="s">
        <v>735</v>
      </c>
      <c r="X88" s="39">
        <v>18.34</v>
      </c>
      <c r="Y88" s="50">
        <v>14.92</v>
      </c>
      <c r="Z88" s="50">
        <f t="shared" si="3"/>
        <v>81.352235550708826</v>
      </c>
    </row>
    <row r="89" spans="20:26">
      <c r="T89">
        <v>10000</v>
      </c>
      <c r="U89" s="39">
        <v>340</v>
      </c>
      <c r="V89" s="39" t="s">
        <v>491</v>
      </c>
      <c r="W89" s="39" t="s">
        <v>736</v>
      </c>
      <c r="X89" s="39">
        <v>28.3</v>
      </c>
      <c r="Y89" s="50">
        <v>23.55</v>
      </c>
      <c r="Z89" s="50">
        <f t="shared" si="3"/>
        <v>83.215547703180221</v>
      </c>
    </row>
    <row r="90" spans="20:26">
      <c r="T90">
        <v>10000</v>
      </c>
      <c r="U90" s="39" t="s">
        <v>15</v>
      </c>
      <c r="V90" s="39">
        <v>7440</v>
      </c>
      <c r="W90" s="39" t="s">
        <v>737</v>
      </c>
      <c r="X90" s="39">
        <v>33.200000000000003</v>
      </c>
      <c r="Y90" s="50">
        <v>27.71</v>
      </c>
      <c r="Z90" s="50">
        <f t="shared" si="3"/>
        <v>83.463855421686745</v>
      </c>
    </row>
    <row r="91" spans="20:26">
      <c r="T91">
        <v>10000</v>
      </c>
      <c r="U91" s="39">
        <v>440</v>
      </c>
      <c r="V91" s="39" t="s">
        <v>494</v>
      </c>
      <c r="W91" s="39" t="s">
        <v>738</v>
      </c>
      <c r="X91" s="39">
        <v>41.32</v>
      </c>
      <c r="Y91" s="50">
        <v>34.51</v>
      </c>
      <c r="Z91" s="50">
        <f t="shared" si="3"/>
        <v>83.518877057115191</v>
      </c>
    </row>
    <row r="92" spans="20:26">
      <c r="T92">
        <v>10000</v>
      </c>
      <c r="U92" s="39" t="s">
        <v>17</v>
      </c>
      <c r="V92" s="39">
        <v>9340</v>
      </c>
      <c r="W92" s="39" t="s">
        <v>739</v>
      </c>
      <c r="X92" s="39">
        <v>45.82</v>
      </c>
      <c r="Y92" s="50">
        <v>38</v>
      </c>
      <c r="Z92" s="50">
        <f t="shared" si="3"/>
        <v>82.933216935835873</v>
      </c>
    </row>
    <row r="93" spans="20:26">
      <c r="T93">
        <v>10000</v>
      </c>
      <c r="U93" s="39">
        <v>540</v>
      </c>
      <c r="V93" s="39" t="s">
        <v>497</v>
      </c>
      <c r="W93" s="39" t="s">
        <v>740</v>
      </c>
      <c r="X93" s="39">
        <v>49.57</v>
      </c>
      <c r="Y93" s="50">
        <v>41.33</v>
      </c>
      <c r="Z93" s="50">
        <f t="shared" si="3"/>
        <v>83.377042566068184</v>
      </c>
    </row>
    <row r="94" spans="20:26">
      <c r="T94">
        <v>10000</v>
      </c>
      <c r="U94" s="39" t="s">
        <v>19</v>
      </c>
      <c r="V94" s="39" t="s">
        <v>499</v>
      </c>
      <c r="W94" s="39" t="s">
        <v>741</v>
      </c>
      <c r="X94" s="39">
        <v>52.97</v>
      </c>
      <c r="Y94" s="50">
        <v>44</v>
      </c>
      <c r="Z94" s="50">
        <f t="shared" si="3"/>
        <v>83.065886350764586</v>
      </c>
    </row>
    <row r="95" spans="20:26">
      <c r="T95">
        <v>10000</v>
      </c>
      <c r="U95" s="39">
        <v>640</v>
      </c>
      <c r="V95" s="39" t="s">
        <v>501</v>
      </c>
      <c r="W95" s="39" t="s">
        <v>742</v>
      </c>
      <c r="X95" s="39">
        <v>57</v>
      </c>
      <c r="Y95" s="50">
        <v>48.22</v>
      </c>
      <c r="Z95" s="50">
        <f t="shared" si="3"/>
        <v>84.596491228070164</v>
      </c>
    </row>
    <row r="96" spans="20:26">
      <c r="T96">
        <v>10000</v>
      </c>
      <c r="U96" s="39" t="s">
        <v>21</v>
      </c>
      <c r="V96" s="39" t="s">
        <v>503</v>
      </c>
      <c r="W96" s="39" t="s">
        <v>743</v>
      </c>
      <c r="X96" s="39">
        <v>60.12</v>
      </c>
      <c r="Y96" s="50">
        <v>50.32</v>
      </c>
      <c r="Z96" s="50">
        <f t="shared" si="3"/>
        <v>83.699268130405855</v>
      </c>
    </row>
  </sheetData>
  <mergeCells count="5">
    <mergeCell ref="C2:G2"/>
    <mergeCell ref="L2:P2"/>
    <mergeCell ref="T2:X2"/>
    <mergeCell ref="AB2:AF2"/>
    <mergeCell ref="AH2:AL2"/>
  </mergeCells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3:Z36"/>
  <sheetViews>
    <sheetView workbookViewId="0">
      <selection activeCell="A15" sqref="A15"/>
    </sheetView>
  </sheetViews>
  <sheetFormatPr defaultRowHeight="14.25"/>
  <cols>
    <col min="1" max="1" width="37" customWidth="1"/>
  </cols>
  <sheetData>
    <row r="3" spans="1:22" ht="15" thickBot="1"/>
    <row r="4" spans="1:22" ht="15" thickBot="1">
      <c r="B4" t="s">
        <v>36</v>
      </c>
      <c r="E4" s="56" t="s">
        <v>45</v>
      </c>
      <c r="F4" s="56"/>
      <c r="G4" s="56"/>
      <c r="H4" s="56"/>
      <c r="I4" s="57"/>
      <c r="K4" s="53" t="s">
        <v>45</v>
      </c>
      <c r="L4" s="54"/>
      <c r="M4" s="54"/>
      <c r="N4" s="54"/>
      <c r="O4" s="55"/>
      <c r="R4" t="s">
        <v>57</v>
      </c>
      <c r="S4" t="s">
        <v>65</v>
      </c>
      <c r="T4" t="s">
        <v>66</v>
      </c>
    </row>
    <row r="5" spans="1:22" ht="24" thickBot="1">
      <c r="A5" t="s">
        <v>37</v>
      </c>
      <c r="B5">
        <v>272</v>
      </c>
      <c r="E5" s="11" t="s">
        <v>49</v>
      </c>
      <c r="F5" s="12" t="s">
        <v>50</v>
      </c>
      <c r="G5" s="7" t="s">
        <v>46</v>
      </c>
      <c r="H5" s="8" t="s">
        <v>47</v>
      </c>
      <c r="I5" s="8" t="s">
        <v>48</v>
      </c>
      <c r="K5" s="14" t="s">
        <v>49</v>
      </c>
      <c r="L5" s="8" t="s">
        <v>50</v>
      </c>
      <c r="M5" s="8" t="s">
        <v>46</v>
      </c>
      <c r="N5" s="8" t="s">
        <v>47</v>
      </c>
      <c r="O5" s="8" t="s">
        <v>48</v>
      </c>
      <c r="Q5" t="s">
        <v>54</v>
      </c>
      <c r="R5" s="15" t="s">
        <v>51</v>
      </c>
      <c r="S5" s="16">
        <v>128</v>
      </c>
      <c r="T5" s="21">
        <v>256</v>
      </c>
    </row>
    <row r="6" spans="1:22" ht="24" thickBot="1">
      <c r="A6" t="s">
        <v>38</v>
      </c>
      <c r="B6">
        <v>282.70999999999998</v>
      </c>
      <c r="E6" s="13">
        <v>8</v>
      </c>
      <c r="F6" s="10">
        <v>2.1000000000000001E-2</v>
      </c>
      <c r="G6" s="9">
        <v>2.3E-2</v>
      </c>
      <c r="H6" s="10">
        <v>2.3E-2</v>
      </c>
      <c r="I6" s="10">
        <v>2.3E-2</v>
      </c>
      <c r="K6" s="13">
        <v>8</v>
      </c>
      <c r="L6" s="10">
        <v>0.52700000000000002</v>
      </c>
      <c r="M6" s="10">
        <v>0.47799999999999998</v>
      </c>
      <c r="N6" s="10">
        <v>0.47</v>
      </c>
      <c r="O6" s="10">
        <v>0.48599999999999999</v>
      </c>
      <c r="R6" s="15" t="s">
        <v>52</v>
      </c>
      <c r="S6" s="16">
        <v>128</v>
      </c>
      <c r="T6" s="21">
        <v>259</v>
      </c>
    </row>
    <row r="7" spans="1:22" ht="24" thickBot="1">
      <c r="A7" t="s">
        <v>39</v>
      </c>
      <c r="B7">
        <v>331.61</v>
      </c>
      <c r="E7" s="13">
        <v>16</v>
      </c>
      <c r="F7" s="10">
        <v>4.5999999999999999E-2</v>
      </c>
      <c r="G7" s="9">
        <v>2.9000000000000001E-2</v>
      </c>
      <c r="H7" s="10">
        <v>5.3999999999999999E-2</v>
      </c>
      <c r="I7" s="10">
        <v>5.2999999999999999E-2</v>
      </c>
      <c r="K7" s="13">
        <v>16</v>
      </c>
      <c r="L7" s="10">
        <v>1.0549999999999999</v>
      </c>
      <c r="M7" s="10">
        <v>0.95499999999999996</v>
      </c>
      <c r="N7" s="10">
        <v>0.94</v>
      </c>
      <c r="O7" s="10">
        <v>0.97</v>
      </c>
      <c r="R7" s="15" t="s">
        <v>53</v>
      </c>
      <c r="S7" s="16">
        <v>128</v>
      </c>
      <c r="T7" s="21">
        <v>259</v>
      </c>
    </row>
    <row r="8" spans="1:22" ht="24" thickBot="1">
      <c r="A8" t="s">
        <v>40</v>
      </c>
      <c r="B8">
        <v>256.39</v>
      </c>
      <c r="E8" s="13">
        <v>32</v>
      </c>
      <c r="F8" s="10">
        <v>8.7999999999999995E-2</v>
      </c>
      <c r="G8" s="9">
        <v>9.8000000000000004E-2</v>
      </c>
      <c r="H8" s="10">
        <v>9.7000000000000003E-2</v>
      </c>
      <c r="I8" s="10">
        <v>9.0999999999999998E-2</v>
      </c>
      <c r="K8" s="13">
        <v>32</v>
      </c>
      <c r="L8" s="10">
        <v>2.1080000000000001</v>
      </c>
      <c r="M8" s="10">
        <v>1.91</v>
      </c>
      <c r="N8" s="10">
        <v>1.88</v>
      </c>
      <c r="O8" s="10">
        <v>1.9430000000000001</v>
      </c>
      <c r="Q8" t="s">
        <v>55</v>
      </c>
      <c r="R8" s="15" t="s">
        <v>51</v>
      </c>
      <c r="S8" s="21">
        <v>32</v>
      </c>
      <c r="T8" s="21">
        <v>127</v>
      </c>
    </row>
    <row r="9" spans="1:22" ht="24" thickBot="1">
      <c r="A9" t="s">
        <v>41</v>
      </c>
      <c r="B9">
        <v>216.42</v>
      </c>
      <c r="E9" s="13">
        <v>64</v>
      </c>
      <c r="F9" s="10">
        <v>0.13400000000000001</v>
      </c>
      <c r="G9" s="9">
        <v>0.20399999999999999</v>
      </c>
      <c r="H9" s="10">
        <v>0.215</v>
      </c>
      <c r="I9" s="10">
        <v>0.188</v>
      </c>
      <c r="K9" s="13">
        <v>64</v>
      </c>
      <c r="L9" s="10">
        <v>4.22</v>
      </c>
      <c r="M9" s="10">
        <v>3.8210000000000002</v>
      </c>
      <c r="N9" s="10">
        <v>3.7610000000000001</v>
      </c>
      <c r="O9" s="10">
        <v>3.883</v>
      </c>
      <c r="R9" s="15" t="s">
        <v>52</v>
      </c>
      <c r="S9" s="16">
        <v>32</v>
      </c>
      <c r="T9" s="17">
        <v>127</v>
      </c>
    </row>
    <row r="10" spans="1:22" ht="24" thickBot="1">
      <c r="A10" t="s">
        <v>42</v>
      </c>
      <c r="B10">
        <v>220.03</v>
      </c>
      <c r="E10" s="13">
        <v>128</v>
      </c>
      <c r="F10" s="10">
        <v>0.46500000000000002</v>
      </c>
      <c r="G10" s="9">
        <v>0.45400000000000001</v>
      </c>
      <c r="H10" s="10">
        <v>0.28799999999999998</v>
      </c>
      <c r="I10" s="10">
        <v>0.14799999999999999</v>
      </c>
      <c r="K10" s="13">
        <v>128</v>
      </c>
      <c r="L10" s="10">
        <v>8.44</v>
      </c>
      <c r="M10" s="10">
        <v>7.6420000000000003</v>
      </c>
      <c r="N10" s="10">
        <v>7.5209999999999999</v>
      </c>
      <c r="O10" s="10">
        <v>7.7720000000000002</v>
      </c>
      <c r="R10" s="15" t="s">
        <v>53</v>
      </c>
      <c r="S10" s="16">
        <v>32</v>
      </c>
      <c r="T10" s="17">
        <v>127</v>
      </c>
    </row>
    <row r="11" spans="1:22" ht="19.5" thickBot="1">
      <c r="A11" t="s">
        <v>43</v>
      </c>
      <c r="B11">
        <v>199.27</v>
      </c>
      <c r="E11" s="13">
        <v>256</v>
      </c>
      <c r="F11" s="10">
        <v>0.91</v>
      </c>
      <c r="G11" s="9">
        <v>0.94099999999999995</v>
      </c>
      <c r="H11" s="10">
        <v>0.72799999999999998</v>
      </c>
      <c r="I11" s="10">
        <v>0.78800000000000003</v>
      </c>
      <c r="K11" s="13">
        <v>256</v>
      </c>
      <c r="L11" s="10">
        <v>16.834</v>
      </c>
      <c r="M11" s="10">
        <v>15.198</v>
      </c>
      <c r="N11" s="10">
        <v>14.936</v>
      </c>
      <c r="O11" s="10">
        <v>15.432</v>
      </c>
    </row>
    <row r="12" spans="1:22" ht="24" thickBot="1">
      <c r="A12" t="s">
        <v>44</v>
      </c>
      <c r="B12">
        <v>205.32</v>
      </c>
      <c r="E12" s="13">
        <v>512</v>
      </c>
      <c r="F12" s="10">
        <v>1.8080000000000001</v>
      </c>
      <c r="G12" s="9">
        <v>1.7030000000000001</v>
      </c>
      <c r="H12" s="10">
        <v>1.1100000000000001</v>
      </c>
      <c r="I12" s="10">
        <v>1.7829999999999999</v>
      </c>
      <c r="K12" s="13">
        <v>512</v>
      </c>
      <c r="L12" s="10">
        <v>33.374000000000002</v>
      </c>
      <c r="M12" s="10">
        <v>28.468</v>
      </c>
      <c r="N12" s="10">
        <v>27.742999999999999</v>
      </c>
      <c r="O12" s="10">
        <v>29.733000000000001</v>
      </c>
      <c r="Q12" t="s">
        <v>67</v>
      </c>
      <c r="R12" s="19" t="s">
        <v>64</v>
      </c>
      <c r="S12" s="20" t="s">
        <v>58</v>
      </c>
      <c r="T12" s="20" t="s">
        <v>59</v>
      </c>
      <c r="U12" s="20" t="s">
        <v>60</v>
      </c>
      <c r="V12" s="20" t="s">
        <v>61</v>
      </c>
    </row>
    <row r="13" spans="1:22" ht="24" thickBot="1">
      <c r="E13" s="13">
        <v>1024</v>
      </c>
      <c r="F13" s="10">
        <v>3.4470000000000001</v>
      </c>
      <c r="G13" s="9">
        <v>3.6160000000000001</v>
      </c>
      <c r="H13" s="10">
        <v>3.4390000000000001</v>
      </c>
      <c r="I13" s="10">
        <v>3.52</v>
      </c>
      <c r="K13" s="13">
        <v>1024</v>
      </c>
      <c r="L13" s="10">
        <v>40.112000000000002</v>
      </c>
      <c r="M13" s="10">
        <v>34.029000000000003</v>
      </c>
      <c r="N13" s="10">
        <v>33.027999999999999</v>
      </c>
      <c r="O13" s="10">
        <v>35.988</v>
      </c>
      <c r="R13" s="15" t="s">
        <v>51</v>
      </c>
      <c r="S13" s="16" t="s">
        <v>62</v>
      </c>
      <c r="T13" s="16">
        <v>128</v>
      </c>
      <c r="U13" s="17">
        <v>832.15</v>
      </c>
      <c r="V13" s="18">
        <v>11.002000000000001</v>
      </c>
    </row>
    <row r="14" spans="1:22" ht="24" thickBot="1">
      <c r="E14" s="13">
        <v>2048</v>
      </c>
      <c r="F14" s="10">
        <v>4.5090000000000003</v>
      </c>
      <c r="G14" s="9">
        <v>4.95</v>
      </c>
      <c r="H14" s="10">
        <v>5.4379999999999997</v>
      </c>
      <c r="I14" s="10">
        <v>4.8470000000000004</v>
      </c>
      <c r="K14" s="13">
        <v>2048</v>
      </c>
      <c r="L14" s="10">
        <v>44.747</v>
      </c>
      <c r="M14" s="10">
        <v>37.741</v>
      </c>
      <c r="N14" s="10">
        <v>36.381999999999998</v>
      </c>
      <c r="O14" s="10">
        <v>40.155000000000001</v>
      </c>
      <c r="R14" s="15" t="s">
        <v>51</v>
      </c>
      <c r="S14" s="16" t="s">
        <v>56</v>
      </c>
      <c r="T14" s="16">
        <v>128</v>
      </c>
      <c r="U14" s="17">
        <v>1389.57</v>
      </c>
      <c r="V14" s="18">
        <v>13.177</v>
      </c>
    </row>
    <row r="15" spans="1:22" ht="24" thickBot="1">
      <c r="E15" s="13">
        <v>4096</v>
      </c>
      <c r="F15" s="10">
        <v>9.4329999999999998</v>
      </c>
      <c r="G15" s="9">
        <v>10.250999999999999</v>
      </c>
      <c r="H15" s="10">
        <v>10.254</v>
      </c>
      <c r="I15" s="10">
        <v>9.3230000000000004</v>
      </c>
      <c r="K15" s="13">
        <v>4096</v>
      </c>
      <c r="L15" s="10">
        <v>47.051000000000002</v>
      </c>
      <c r="M15" s="10">
        <v>39.902999999999999</v>
      </c>
      <c r="N15" s="10">
        <v>38.118000000000002</v>
      </c>
      <c r="O15" s="10">
        <v>42.527000000000001</v>
      </c>
      <c r="R15" s="15" t="s">
        <v>52</v>
      </c>
      <c r="S15" s="16" t="s">
        <v>62</v>
      </c>
      <c r="T15" s="16">
        <v>128</v>
      </c>
      <c r="U15" s="17">
        <v>832.24</v>
      </c>
      <c r="V15" s="18">
        <v>11</v>
      </c>
    </row>
    <row r="16" spans="1:22" ht="24" thickBot="1">
      <c r="E16" s="13">
        <v>8192</v>
      </c>
      <c r="F16" s="10">
        <v>16.123000000000001</v>
      </c>
      <c r="G16" s="9">
        <v>17.792999999999999</v>
      </c>
      <c r="H16" s="10">
        <v>17.289000000000001</v>
      </c>
      <c r="I16" s="10">
        <v>12.516999999999999</v>
      </c>
      <c r="K16" s="13">
        <v>8192</v>
      </c>
      <c r="L16" s="10">
        <v>48.482999999999997</v>
      </c>
      <c r="M16" s="10">
        <v>41.109000000000002</v>
      </c>
      <c r="N16" s="10">
        <v>39.290999999999997</v>
      </c>
      <c r="O16" s="10">
        <v>43.816000000000003</v>
      </c>
      <c r="R16" s="15" t="s">
        <v>52</v>
      </c>
      <c r="S16" s="16" t="s">
        <v>56</v>
      </c>
      <c r="T16" s="16">
        <v>128</v>
      </c>
      <c r="U16" s="17">
        <v>1389.73</v>
      </c>
      <c r="V16" s="18">
        <v>13.175000000000001</v>
      </c>
    </row>
    <row r="17" spans="5:26" ht="24" thickBot="1">
      <c r="E17" s="13">
        <v>16384</v>
      </c>
      <c r="F17" s="10">
        <v>27.233000000000001</v>
      </c>
      <c r="G17" s="9">
        <v>32.027999999999999</v>
      </c>
      <c r="H17" s="10">
        <v>31.765000000000001</v>
      </c>
      <c r="I17" s="10">
        <v>26.204000000000001</v>
      </c>
      <c r="K17" s="13">
        <v>16384</v>
      </c>
      <c r="L17" s="10">
        <v>49.186</v>
      </c>
      <c r="M17" s="10">
        <v>41.624000000000002</v>
      </c>
      <c r="N17" s="10">
        <v>39.840000000000003</v>
      </c>
      <c r="O17" s="10">
        <v>44.570999999999998</v>
      </c>
      <c r="R17" s="15" t="s">
        <v>53</v>
      </c>
      <c r="S17" s="16" t="s">
        <v>63</v>
      </c>
      <c r="T17" s="16">
        <v>128</v>
      </c>
      <c r="U17" s="17">
        <v>832.26</v>
      </c>
      <c r="V17" s="18">
        <v>11</v>
      </c>
    </row>
    <row r="18" spans="5:26" ht="24" thickBot="1">
      <c r="E18" s="13">
        <v>32768</v>
      </c>
      <c r="F18" s="10">
        <v>48.064999999999998</v>
      </c>
      <c r="G18" s="9">
        <v>23.408000000000001</v>
      </c>
      <c r="H18" s="10">
        <v>39.15</v>
      </c>
      <c r="I18" s="10">
        <v>35.94</v>
      </c>
      <c r="K18" s="13">
        <v>32768</v>
      </c>
      <c r="L18" s="10">
        <v>49.482999999999997</v>
      </c>
      <c r="M18" s="10">
        <v>41.902000000000001</v>
      </c>
      <c r="N18" s="10">
        <v>40.115000000000002</v>
      </c>
      <c r="O18" s="10">
        <v>44.851999999999997</v>
      </c>
      <c r="R18" s="15" t="s">
        <v>53</v>
      </c>
      <c r="S18" s="16" t="s">
        <v>62</v>
      </c>
      <c r="T18" s="16">
        <v>128</v>
      </c>
      <c r="U18" s="17">
        <v>1389.66</v>
      </c>
      <c r="V18" s="18">
        <v>13.175000000000001</v>
      </c>
    </row>
    <row r="19" spans="5:26" ht="15" thickBot="1">
      <c r="E19" s="13">
        <v>65536</v>
      </c>
      <c r="F19" s="10">
        <v>50.484000000000002</v>
      </c>
      <c r="G19" s="9">
        <v>50.497999999999998</v>
      </c>
      <c r="H19" s="10">
        <v>48.801000000000002</v>
      </c>
      <c r="I19" s="10">
        <v>50.865000000000002</v>
      </c>
      <c r="K19" s="13">
        <v>65536</v>
      </c>
      <c r="L19" s="10">
        <v>50.084000000000003</v>
      </c>
      <c r="M19" s="10">
        <v>42.317999999999998</v>
      </c>
      <c r="N19" s="10">
        <v>40.540999999999997</v>
      </c>
      <c r="O19" s="10">
        <v>45.405999999999999</v>
      </c>
      <c r="Q19" s="22" t="s">
        <v>70</v>
      </c>
    </row>
    <row r="20" spans="5:26" ht="52.5" thickBot="1">
      <c r="E20" s="13">
        <v>131072</v>
      </c>
      <c r="F20" s="10">
        <v>51.195</v>
      </c>
      <c r="G20" s="9">
        <v>51.085000000000001</v>
      </c>
      <c r="H20" s="10">
        <v>51.127000000000002</v>
      </c>
      <c r="I20" s="10">
        <v>51.146999999999998</v>
      </c>
      <c r="K20" s="13">
        <v>131072</v>
      </c>
      <c r="L20" s="10">
        <v>50.165999999999997</v>
      </c>
      <c r="M20" s="10">
        <v>42.395000000000003</v>
      </c>
      <c r="N20" s="10">
        <v>40.631</v>
      </c>
      <c r="O20" s="10">
        <v>45.392000000000003</v>
      </c>
      <c r="Q20" s="27" t="s">
        <v>58</v>
      </c>
      <c r="R20" s="28" t="s">
        <v>71</v>
      </c>
      <c r="S20" s="28" t="s">
        <v>72</v>
      </c>
      <c r="T20" s="28" t="s">
        <v>60</v>
      </c>
      <c r="U20" s="28" t="s">
        <v>60</v>
      </c>
      <c r="V20" s="27" t="s">
        <v>58</v>
      </c>
      <c r="W20" s="28" t="s">
        <v>71</v>
      </c>
      <c r="X20" s="28" t="s">
        <v>72</v>
      </c>
      <c r="Y20" s="28" t="s">
        <v>60</v>
      </c>
      <c r="Z20" s="28" t="s">
        <v>60</v>
      </c>
    </row>
    <row r="21" spans="5:26" ht="15" thickBot="1">
      <c r="Q21" s="23" t="s">
        <v>68</v>
      </c>
      <c r="R21" s="24">
        <v>128</v>
      </c>
      <c r="S21" s="24">
        <v>2</v>
      </c>
      <c r="T21" s="17">
        <v>1300</v>
      </c>
      <c r="U21" s="17">
        <v>1265</v>
      </c>
      <c r="V21" s="23" t="s">
        <v>69</v>
      </c>
      <c r="W21" s="24">
        <v>128</v>
      </c>
      <c r="X21" s="24">
        <v>2</v>
      </c>
      <c r="Y21" s="17">
        <v>1980</v>
      </c>
      <c r="Z21" s="17">
        <v>1812</v>
      </c>
    </row>
    <row r="22" spans="5:26" ht="15" thickBot="1">
      <c r="Q22" s="25" t="s">
        <v>68</v>
      </c>
      <c r="R22" s="26">
        <v>128</v>
      </c>
      <c r="S22" s="26">
        <v>4</v>
      </c>
      <c r="T22" s="10">
        <v>1300</v>
      </c>
      <c r="U22" s="10">
        <v>1265</v>
      </c>
      <c r="V22" s="25" t="s">
        <v>69</v>
      </c>
      <c r="W22" s="26">
        <v>128</v>
      </c>
      <c r="X22" s="26">
        <v>4</v>
      </c>
      <c r="Y22" s="10">
        <v>1980</v>
      </c>
      <c r="Z22" s="10">
        <v>1812</v>
      </c>
    </row>
    <row r="23" spans="5:26" ht="15" thickBot="1">
      <c r="Q23" s="25" t="s">
        <v>68</v>
      </c>
      <c r="R23" s="26">
        <v>128</v>
      </c>
      <c r="S23" s="26">
        <v>8</v>
      </c>
      <c r="T23" s="10">
        <v>1300</v>
      </c>
      <c r="U23" s="10">
        <v>1265</v>
      </c>
      <c r="V23" s="25" t="s">
        <v>69</v>
      </c>
      <c r="W23" s="26">
        <v>128</v>
      </c>
      <c r="X23" s="26">
        <v>8</v>
      </c>
      <c r="Y23" s="10">
        <v>1980</v>
      </c>
      <c r="Z23" s="10">
        <v>1812</v>
      </c>
    </row>
    <row r="24" spans="5:26" ht="15" thickBot="1">
      <c r="Q24" s="25" t="s">
        <v>68</v>
      </c>
      <c r="R24" s="26">
        <v>128</v>
      </c>
      <c r="S24" s="26">
        <v>16</v>
      </c>
      <c r="T24" s="10">
        <v>1291</v>
      </c>
      <c r="U24" s="10">
        <v>1262</v>
      </c>
      <c r="V24" s="25" t="s">
        <v>69</v>
      </c>
      <c r="W24" s="26">
        <v>128</v>
      </c>
      <c r="X24" s="26">
        <v>16</v>
      </c>
      <c r="Y24" s="10">
        <v>1976</v>
      </c>
      <c r="Z24" s="10">
        <v>1809</v>
      </c>
    </row>
    <row r="25" spans="5:26" ht="15" thickBot="1">
      <c r="Q25" s="25" t="s">
        <v>68</v>
      </c>
      <c r="R25" s="26">
        <v>256</v>
      </c>
      <c r="S25" s="26">
        <v>2</v>
      </c>
      <c r="T25" s="10">
        <v>2601</v>
      </c>
      <c r="U25" s="10">
        <v>2531</v>
      </c>
      <c r="V25" s="25" t="s">
        <v>69</v>
      </c>
      <c r="W25" s="26">
        <v>256</v>
      </c>
      <c r="X25" s="26">
        <v>2</v>
      </c>
      <c r="Y25" s="10">
        <v>3961</v>
      </c>
      <c r="Z25" s="10">
        <v>3625</v>
      </c>
    </row>
    <row r="26" spans="5:26" ht="15" thickBot="1">
      <c r="Q26" s="25" t="s">
        <v>68</v>
      </c>
      <c r="R26" s="26">
        <v>256</v>
      </c>
      <c r="S26" s="26">
        <v>4</v>
      </c>
      <c r="T26" s="10">
        <v>2601</v>
      </c>
      <c r="U26" s="10">
        <v>2531</v>
      </c>
      <c r="V26" s="25" t="s">
        <v>69</v>
      </c>
      <c r="W26" s="26">
        <v>256</v>
      </c>
      <c r="X26" s="26">
        <v>4</v>
      </c>
      <c r="Y26" s="10">
        <v>3961</v>
      </c>
      <c r="Z26" s="10">
        <v>3625</v>
      </c>
    </row>
    <row r="27" spans="5:26" ht="15" thickBot="1">
      <c r="Q27" s="25" t="s">
        <v>68</v>
      </c>
      <c r="R27" s="26">
        <v>256</v>
      </c>
      <c r="S27" s="26">
        <v>8</v>
      </c>
      <c r="T27" s="10">
        <v>2601</v>
      </c>
      <c r="U27" s="10">
        <v>2531</v>
      </c>
      <c r="V27" s="25" t="s">
        <v>69</v>
      </c>
      <c r="W27" s="26">
        <v>256</v>
      </c>
      <c r="X27" s="26">
        <v>8</v>
      </c>
      <c r="Y27" s="10">
        <v>3961</v>
      </c>
      <c r="Z27" s="10">
        <v>3625</v>
      </c>
    </row>
    <row r="28" spans="5:26" ht="15" thickBot="1">
      <c r="Q28" s="25" t="s">
        <v>68</v>
      </c>
      <c r="R28" s="26">
        <v>256</v>
      </c>
      <c r="S28" s="26">
        <v>16</v>
      </c>
      <c r="T28" s="10">
        <v>2582</v>
      </c>
      <c r="U28" s="10">
        <v>2524</v>
      </c>
      <c r="V28" s="25" t="s">
        <v>69</v>
      </c>
      <c r="W28" s="26">
        <v>256</v>
      </c>
      <c r="X28" s="26">
        <v>16</v>
      </c>
      <c r="Y28" s="10">
        <v>3952</v>
      </c>
      <c r="Z28" s="10">
        <v>3618</v>
      </c>
    </row>
    <row r="29" spans="5:26" ht="15" thickBot="1">
      <c r="Q29" s="25" t="s">
        <v>68</v>
      </c>
      <c r="R29" s="26">
        <v>512</v>
      </c>
      <c r="S29" s="26">
        <v>2</v>
      </c>
      <c r="T29" s="10">
        <v>5202</v>
      </c>
      <c r="U29" s="10">
        <v>5062</v>
      </c>
      <c r="V29" s="25" t="s">
        <v>69</v>
      </c>
      <c r="W29" s="26">
        <v>512</v>
      </c>
      <c r="X29" s="26">
        <v>2</v>
      </c>
      <c r="Y29" s="10">
        <v>7923</v>
      </c>
      <c r="Z29" s="10">
        <v>7250</v>
      </c>
    </row>
    <row r="30" spans="5:26" ht="15" thickBot="1">
      <c r="Q30" s="25" t="s">
        <v>68</v>
      </c>
      <c r="R30" s="26">
        <v>512</v>
      </c>
      <c r="S30" s="26">
        <v>4</v>
      </c>
      <c r="T30" s="10">
        <v>5202</v>
      </c>
      <c r="U30" s="10">
        <v>5062</v>
      </c>
      <c r="V30" s="25" t="s">
        <v>69</v>
      </c>
      <c r="W30" s="26">
        <v>512</v>
      </c>
      <c r="X30" s="26">
        <v>4</v>
      </c>
      <c r="Y30" s="10">
        <v>7924</v>
      </c>
      <c r="Z30" s="10">
        <v>7250</v>
      </c>
    </row>
    <row r="31" spans="5:26" ht="15" thickBot="1">
      <c r="Q31" s="25" t="s">
        <v>68</v>
      </c>
      <c r="R31" s="26">
        <v>512</v>
      </c>
      <c r="S31" s="26">
        <v>8</v>
      </c>
      <c r="T31" s="10">
        <v>5202</v>
      </c>
      <c r="U31" s="10">
        <v>5062</v>
      </c>
      <c r="V31" s="25" t="s">
        <v>69</v>
      </c>
      <c r="W31" s="26">
        <v>512</v>
      </c>
      <c r="X31" s="26">
        <v>8</v>
      </c>
      <c r="Y31" s="10">
        <v>7924</v>
      </c>
      <c r="Z31" s="10">
        <v>7250</v>
      </c>
    </row>
    <row r="32" spans="5:26" ht="15" thickBot="1">
      <c r="Q32" s="25" t="s">
        <v>68</v>
      </c>
      <c r="R32" s="26">
        <v>512</v>
      </c>
      <c r="S32" s="26">
        <v>16</v>
      </c>
      <c r="T32" s="10">
        <v>5164</v>
      </c>
      <c r="U32" s="10">
        <v>5048</v>
      </c>
      <c r="V32" s="25" t="s">
        <v>69</v>
      </c>
      <c r="W32" s="26">
        <v>512</v>
      </c>
      <c r="X32" s="26">
        <v>16</v>
      </c>
      <c r="Y32" s="10">
        <v>7903</v>
      </c>
      <c r="Z32" s="10">
        <v>7236</v>
      </c>
    </row>
    <row r="33" spans="17:26" ht="15" thickBot="1">
      <c r="Q33" s="25" t="s">
        <v>68</v>
      </c>
      <c r="R33" s="26">
        <v>1024</v>
      </c>
      <c r="S33" s="26">
        <v>2</v>
      </c>
      <c r="T33" s="10">
        <v>10238</v>
      </c>
      <c r="U33" s="10">
        <v>9927</v>
      </c>
      <c r="V33" s="25" t="s">
        <v>69</v>
      </c>
      <c r="W33" s="26">
        <v>1024</v>
      </c>
      <c r="X33" s="26">
        <v>2</v>
      </c>
      <c r="Y33" s="10">
        <v>15696</v>
      </c>
      <c r="Z33" s="10">
        <v>14334</v>
      </c>
    </row>
    <row r="34" spans="17:26" ht="15" thickBot="1">
      <c r="Q34" s="25" t="s">
        <v>68</v>
      </c>
      <c r="R34" s="26">
        <v>1024</v>
      </c>
      <c r="S34" s="26">
        <v>4</v>
      </c>
      <c r="T34" s="10">
        <v>10238</v>
      </c>
      <c r="U34" s="10">
        <v>9927</v>
      </c>
      <c r="V34" s="25" t="s">
        <v>69</v>
      </c>
      <c r="W34" s="26">
        <v>1024</v>
      </c>
      <c r="X34" s="26">
        <v>4</v>
      </c>
      <c r="Y34" s="10">
        <v>15696</v>
      </c>
      <c r="Z34" s="10">
        <v>14334</v>
      </c>
    </row>
    <row r="35" spans="17:26" ht="15" thickBot="1">
      <c r="Q35" s="25" t="s">
        <v>68</v>
      </c>
      <c r="R35" s="26">
        <v>1024</v>
      </c>
      <c r="S35" s="26">
        <v>8</v>
      </c>
      <c r="T35" s="10">
        <v>10238</v>
      </c>
      <c r="U35" s="10">
        <v>9927</v>
      </c>
      <c r="V35" s="25" t="s">
        <v>69</v>
      </c>
      <c r="W35" s="26">
        <v>1024</v>
      </c>
      <c r="X35" s="26">
        <v>8</v>
      </c>
      <c r="Y35" s="10">
        <v>15695</v>
      </c>
      <c r="Z35" s="10">
        <v>14334</v>
      </c>
    </row>
    <row r="36" spans="17:26" ht="15" thickBot="1">
      <c r="Q36" s="25" t="s">
        <v>68</v>
      </c>
      <c r="R36" s="26">
        <v>1024</v>
      </c>
      <c r="S36" s="26">
        <v>16</v>
      </c>
      <c r="T36" s="10">
        <v>10212</v>
      </c>
      <c r="U36" s="10">
        <v>9899</v>
      </c>
      <c r="V36" s="25" t="s">
        <v>69</v>
      </c>
      <c r="W36" s="26">
        <v>1024</v>
      </c>
      <c r="X36" s="26">
        <v>16</v>
      </c>
      <c r="Y36" s="10">
        <v>15673</v>
      </c>
      <c r="Z36" s="10">
        <v>14332</v>
      </c>
    </row>
  </sheetData>
  <mergeCells count="2">
    <mergeCell ref="K4:O4"/>
    <mergeCell ref="E4:I4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D1:K7"/>
  <sheetViews>
    <sheetView workbookViewId="0">
      <selection activeCell="K28" sqref="K28"/>
    </sheetView>
  </sheetViews>
  <sheetFormatPr defaultRowHeight="14.25"/>
  <cols>
    <col min="11" max="11" width="13" bestFit="1" customWidth="1"/>
  </cols>
  <sheetData>
    <row r="1" spans="4:11">
      <c r="D1" t="s">
        <v>754</v>
      </c>
    </row>
    <row r="2" spans="4:11">
      <c r="D2" t="s">
        <v>753</v>
      </c>
      <c r="F2" t="s">
        <v>746</v>
      </c>
      <c r="G2" t="s">
        <v>747</v>
      </c>
      <c r="H2" t="s">
        <v>748</v>
      </c>
      <c r="I2" t="s">
        <v>35</v>
      </c>
      <c r="J2" t="s">
        <v>749</v>
      </c>
      <c r="K2" t="s">
        <v>755</v>
      </c>
    </row>
    <row r="3" spans="4:11">
      <c r="E3" t="s">
        <v>751</v>
      </c>
      <c r="F3">
        <v>100</v>
      </c>
      <c r="G3">
        <v>512</v>
      </c>
      <c r="H3">
        <v>32768</v>
      </c>
      <c r="I3">
        <v>83863</v>
      </c>
      <c r="J3">
        <f>F3*H3*2/(1024*1024*1024)/I3*(2.5*1000000000)</f>
        <v>181.94900090027784</v>
      </c>
    </row>
    <row r="4" spans="4:11">
      <c r="E4" t="s">
        <v>750</v>
      </c>
      <c r="F4">
        <v>100</v>
      </c>
      <c r="G4">
        <v>512</v>
      </c>
      <c r="H4">
        <v>32768</v>
      </c>
      <c r="I4">
        <v>185878</v>
      </c>
      <c r="J4">
        <f>F4*H4*2/(1024*1024*1024)/I4*(2.5*1000000000)</f>
        <v>82.090344540505058</v>
      </c>
    </row>
    <row r="5" spans="4:11">
      <c r="E5" t="s">
        <v>752</v>
      </c>
      <c r="F5">
        <v>100</v>
      </c>
      <c r="G5">
        <v>512</v>
      </c>
      <c r="H5">
        <v>32768</v>
      </c>
      <c r="I5">
        <v>872019</v>
      </c>
      <c r="J5">
        <f>F5*F5*G5*2/(1024*1024*1024)/I5*(2.5*1000000000)</f>
        <v>27.34098443973841</v>
      </c>
    </row>
    <row r="7" spans="4:11">
      <c r="D7" t="s">
        <v>756</v>
      </c>
      <c r="F7">
        <v>32</v>
      </c>
      <c r="G7">
        <v>128</v>
      </c>
      <c r="H7">
        <v>32</v>
      </c>
      <c r="I7">
        <v>1812</v>
      </c>
      <c r="J7">
        <f>F7*G7*4/(1024*1024*1024)/I7*(2.5*1000000000)</f>
        <v>21.052413165700884</v>
      </c>
      <c r="K7">
        <f>64*64*64*2*32/I7*(2.5)/1000</f>
        <v>23.147373068432675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环境说明</vt:lpstr>
      <vt:lpstr>行列广播&amp;转置广播基础性能数据</vt:lpstr>
      <vt:lpstr>dma单从核（32核同时）模式基础性能数据</vt:lpstr>
      <vt:lpstr>dma_put基础带宽数据</vt:lpstr>
      <vt:lpstr>性能汇总数据（20220317更新）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谭坚</dc:creator>
  <cp:lastModifiedBy>admin</cp:lastModifiedBy>
  <dcterms:created xsi:type="dcterms:W3CDTF">2022-01-10T11:44:34Z</dcterms:created>
  <dcterms:modified xsi:type="dcterms:W3CDTF">2022-09-09T07:34:35Z</dcterms:modified>
</cp:coreProperties>
</file>