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corigin个人工作目录\优化参考资料\"/>
    </mc:Choice>
  </mc:AlternateContent>
  <xr:revisionPtr revIDLastSave="0" documentId="13_ncr:1_{3B413B47-F31B-4A8B-8938-E6B014057BF5}" xr6:coauthVersionLast="47" xr6:coauthVersionMax="47" xr10:uidLastSave="{00000000-0000-0000-0000-000000000000}"/>
  <bookViews>
    <workbookView xWindow="-16770" yWindow="-16320" windowWidth="29040" windowHeight="15720" activeTab="4" xr2:uid="{752BAC88-3D22-6345-9E5D-6A586CA68B77}"/>
  </bookViews>
  <sheets>
    <sheet name="2.36Ghz - dma 跨步" sheetId="1" r:id="rId1"/>
    <sheet name="ACE - 测试数据" sheetId="2" r:id="rId2"/>
    <sheet name="2.5Ghz - dma 跨步" sheetId="3" r:id="rId3"/>
    <sheet name="dma 连续" sheetId="4" r:id="rId4"/>
    <sheet name="m8k4" sheetId="5" r:id="rId5"/>
  </sheets>
  <calcPr calcId="191029"/>
</workbook>
</file>

<file path=xl/calcChain.xml><?xml version="1.0" encoding="utf-8"?>
<calcChain xmlns="http://schemas.openxmlformats.org/spreadsheetml/2006/main">
  <c r="D17" i="4" l="1"/>
  <c r="E17" i="4" s="1"/>
  <c r="D16" i="4"/>
  <c r="E16" i="4" s="1"/>
  <c r="D15" i="4"/>
  <c r="E15" i="4" s="1"/>
  <c r="D14" i="4"/>
  <c r="E14" i="4" s="1"/>
  <c r="E13" i="4"/>
  <c r="D13" i="4"/>
  <c r="D12" i="4"/>
  <c r="E12" i="4" s="1"/>
  <c r="D11" i="4"/>
  <c r="E11" i="4" s="1"/>
  <c r="D10" i="4"/>
  <c r="E10" i="4" s="1"/>
  <c r="E9" i="4"/>
  <c r="D9" i="4"/>
  <c r="D8" i="4"/>
  <c r="E8" i="4" s="1"/>
  <c r="E7" i="4"/>
  <c r="D7" i="4"/>
  <c r="E6" i="4"/>
  <c r="D6" i="4"/>
  <c r="E5" i="4"/>
  <c r="D5" i="4"/>
  <c r="AH39" i="3"/>
  <c r="AC39" i="3"/>
  <c r="X39" i="3"/>
  <c r="S39" i="3"/>
  <c r="N39" i="3"/>
  <c r="I39" i="3"/>
  <c r="AM39" i="3" s="1"/>
  <c r="D39" i="3"/>
  <c r="AM38" i="3"/>
  <c r="AH38" i="3"/>
  <c r="AC38" i="3"/>
  <c r="X38" i="3"/>
  <c r="S38" i="3"/>
  <c r="N38" i="3"/>
  <c r="I38" i="3"/>
  <c r="D38" i="3"/>
  <c r="AH37" i="3"/>
  <c r="AC37" i="3"/>
  <c r="X37" i="3"/>
  <c r="S37" i="3"/>
  <c r="N37" i="3"/>
  <c r="I37" i="3"/>
  <c r="AM37" i="3" s="1"/>
  <c r="D37" i="3"/>
  <c r="AM36" i="3"/>
  <c r="AH36" i="3"/>
  <c r="AC36" i="3"/>
  <c r="X36" i="3"/>
  <c r="S36" i="3"/>
  <c r="N36" i="3"/>
  <c r="I36" i="3"/>
  <c r="D36" i="3"/>
  <c r="AH35" i="3"/>
  <c r="AC35" i="3"/>
  <c r="X35" i="3"/>
  <c r="S35" i="3"/>
  <c r="N35" i="3"/>
  <c r="I35" i="3"/>
  <c r="AM35" i="3" s="1"/>
  <c r="D35" i="3"/>
  <c r="AM34" i="3"/>
  <c r="AH34" i="3"/>
  <c r="AC34" i="3"/>
  <c r="X34" i="3"/>
  <c r="S34" i="3"/>
  <c r="N34" i="3"/>
  <c r="I34" i="3"/>
  <c r="D34" i="3"/>
  <c r="AH33" i="3"/>
  <c r="AC33" i="3"/>
  <c r="X33" i="3"/>
  <c r="S33" i="3"/>
  <c r="N33" i="3"/>
  <c r="I33" i="3"/>
  <c r="AM33" i="3" s="1"/>
  <c r="D33" i="3"/>
  <c r="AM32" i="3"/>
  <c r="AH32" i="3"/>
  <c r="AC32" i="3"/>
  <c r="X32" i="3"/>
  <c r="S32" i="3"/>
  <c r="N32" i="3"/>
  <c r="I32" i="3"/>
  <c r="D32" i="3"/>
  <c r="AH31" i="3"/>
  <c r="AC31" i="3"/>
  <c r="X31" i="3"/>
  <c r="S31" i="3"/>
  <c r="N31" i="3"/>
  <c r="I31" i="3"/>
  <c r="AM31" i="3" s="1"/>
  <c r="D31" i="3"/>
  <c r="AM30" i="3"/>
  <c r="AH30" i="3"/>
  <c r="AC30" i="3"/>
  <c r="X30" i="3"/>
  <c r="S30" i="3"/>
  <c r="N30" i="3"/>
  <c r="I30" i="3"/>
  <c r="D30" i="3"/>
  <c r="AH29" i="3"/>
  <c r="AC29" i="3"/>
  <c r="X29" i="3"/>
  <c r="S29" i="3"/>
  <c r="N29" i="3"/>
  <c r="I29" i="3"/>
  <c r="AM29" i="3" s="1"/>
  <c r="D29" i="3"/>
  <c r="AM28" i="3"/>
  <c r="AH28" i="3"/>
  <c r="AC28" i="3"/>
  <c r="X28" i="3"/>
  <c r="S28" i="3"/>
  <c r="N28" i="3"/>
  <c r="I28" i="3"/>
  <c r="D28" i="3"/>
  <c r="AH27" i="3"/>
  <c r="AC27" i="3"/>
  <c r="X27" i="3"/>
  <c r="S27" i="3"/>
  <c r="N27" i="3"/>
  <c r="I27" i="3"/>
  <c r="AM27" i="3" s="1"/>
  <c r="D27" i="3"/>
  <c r="AM26" i="3"/>
  <c r="AH26" i="3"/>
  <c r="AC26" i="3"/>
  <c r="X26" i="3"/>
  <c r="S26" i="3"/>
  <c r="N26" i="3"/>
  <c r="I26" i="3"/>
  <c r="D26" i="3"/>
  <c r="AH25" i="3"/>
  <c r="AC25" i="3"/>
  <c r="X25" i="3"/>
  <c r="S25" i="3"/>
  <c r="N25" i="3"/>
  <c r="I25" i="3"/>
  <c r="AM25" i="3" s="1"/>
  <c r="D25" i="3"/>
  <c r="AM24" i="3"/>
  <c r="AH24" i="3"/>
  <c r="AC24" i="3"/>
  <c r="X24" i="3"/>
  <c r="S24" i="3"/>
  <c r="N24" i="3"/>
  <c r="I24" i="3"/>
  <c r="D24" i="3"/>
  <c r="AH23" i="3"/>
  <c r="AC23" i="3"/>
  <c r="X23" i="3"/>
  <c r="S23" i="3"/>
  <c r="N23" i="3"/>
  <c r="I23" i="3"/>
  <c r="AM23" i="3" s="1"/>
  <c r="D23" i="3"/>
  <c r="AM22" i="3"/>
  <c r="AH22" i="3"/>
  <c r="AC22" i="3"/>
  <c r="X22" i="3"/>
  <c r="S22" i="3"/>
  <c r="N22" i="3"/>
  <c r="I22" i="3"/>
  <c r="D22" i="3"/>
  <c r="AH21" i="3"/>
  <c r="AC21" i="3"/>
  <c r="X21" i="3"/>
  <c r="S21" i="3"/>
  <c r="N21" i="3"/>
  <c r="I21" i="3"/>
  <c r="AM21" i="3" s="1"/>
  <c r="D21" i="3"/>
  <c r="AM20" i="3"/>
  <c r="AH20" i="3"/>
  <c r="AC20" i="3"/>
  <c r="X20" i="3"/>
  <c r="S20" i="3"/>
  <c r="N20" i="3"/>
  <c r="I20" i="3"/>
  <c r="D20" i="3"/>
  <c r="AH19" i="3"/>
  <c r="AC19" i="3"/>
  <c r="X19" i="3"/>
  <c r="S19" i="3"/>
  <c r="N19" i="3"/>
  <c r="I19" i="3"/>
  <c r="AM19" i="3" s="1"/>
  <c r="D19" i="3"/>
  <c r="AM18" i="3"/>
  <c r="AH18" i="3"/>
  <c r="AC18" i="3"/>
  <c r="X18" i="3"/>
  <c r="S18" i="3"/>
  <c r="N18" i="3"/>
  <c r="AM17" i="3"/>
  <c r="AH17" i="3"/>
  <c r="AC17" i="3"/>
  <c r="X17" i="3"/>
  <c r="S17" i="3"/>
  <c r="N17" i="3"/>
  <c r="AM16" i="3"/>
  <c r="AH16" i="3"/>
  <c r="AC16" i="3"/>
  <c r="X16" i="3"/>
  <c r="S16" i="3"/>
  <c r="N16" i="3"/>
  <c r="AM15" i="3"/>
  <c r="AH15" i="3"/>
  <c r="AC15" i="3"/>
  <c r="X15" i="3"/>
  <c r="S15" i="3"/>
  <c r="N15" i="3"/>
  <c r="AM14" i="3"/>
  <c r="AH14" i="3"/>
  <c r="AC14" i="3"/>
  <c r="X14" i="3"/>
  <c r="S14" i="3"/>
  <c r="N14" i="3"/>
  <c r="AM13" i="3"/>
  <c r="AH13" i="3"/>
  <c r="AC13" i="3"/>
  <c r="X13" i="3"/>
  <c r="S13" i="3"/>
  <c r="N13" i="3"/>
  <c r="AM12" i="3"/>
  <c r="AH12" i="3"/>
  <c r="AC12" i="3"/>
  <c r="X12" i="3"/>
  <c r="S12" i="3"/>
  <c r="N12" i="3"/>
  <c r="AC11" i="3"/>
  <c r="X11" i="3"/>
  <c r="S11" i="3"/>
  <c r="N11" i="3"/>
  <c r="AC10" i="3"/>
  <c r="X10" i="3"/>
  <c r="S10" i="3"/>
  <c r="N10" i="3"/>
  <c r="AC9" i="3"/>
  <c r="X9" i="3"/>
  <c r="S9" i="3"/>
  <c r="N9" i="3"/>
  <c r="AC8" i="3"/>
  <c r="X8" i="3"/>
  <c r="S8" i="3"/>
  <c r="N8" i="3"/>
  <c r="AC7" i="3"/>
  <c r="X7" i="3"/>
  <c r="S7" i="3"/>
  <c r="N7" i="3"/>
  <c r="AC6" i="3"/>
  <c r="X6" i="3"/>
  <c r="S6" i="3"/>
  <c r="N6" i="3"/>
  <c r="AC5" i="3"/>
  <c r="X5" i="3"/>
  <c r="S5" i="3"/>
  <c r="N5" i="3"/>
  <c r="I111" i="1"/>
  <c r="D111" i="1"/>
  <c r="AC111" i="1" s="1"/>
  <c r="I110" i="1"/>
  <c r="D110" i="1"/>
  <c r="N110" i="1" s="1"/>
  <c r="AC109" i="1"/>
  <c r="X109" i="1"/>
  <c r="S109" i="1"/>
  <c r="N109" i="1"/>
  <c r="I109" i="1"/>
  <c r="D109" i="1"/>
  <c r="AC108" i="1"/>
  <c r="X108" i="1"/>
  <c r="S108" i="1"/>
  <c r="N108" i="1"/>
  <c r="I108" i="1"/>
  <c r="D108" i="1"/>
  <c r="AM107" i="1"/>
  <c r="AL107" i="1"/>
  <c r="AH107" i="1"/>
  <c r="AG107" i="1"/>
  <c r="AC107" i="1"/>
  <c r="AB107" i="1"/>
  <c r="X107" i="1"/>
  <c r="W107" i="1"/>
  <c r="S107" i="1"/>
  <c r="R107" i="1"/>
  <c r="N107" i="1"/>
  <c r="M107" i="1"/>
  <c r="H107" i="1"/>
  <c r="I107" i="1" s="1"/>
  <c r="D107" i="1"/>
  <c r="AL106" i="1"/>
  <c r="AG106" i="1"/>
  <c r="AC106" i="1"/>
  <c r="AB106" i="1"/>
  <c r="W106" i="1"/>
  <c r="R106" i="1"/>
  <c r="M106" i="1"/>
  <c r="H106" i="1"/>
  <c r="I106" i="1" s="1"/>
  <c r="D106" i="1"/>
  <c r="AH106" i="1" s="1"/>
  <c r="AL105" i="1"/>
  <c r="AG105" i="1"/>
  <c r="AC105" i="1"/>
  <c r="AB105" i="1"/>
  <c r="X105" i="1"/>
  <c r="W105" i="1"/>
  <c r="S105" i="1"/>
  <c r="R105" i="1"/>
  <c r="N105" i="1"/>
  <c r="M105" i="1"/>
  <c r="I105" i="1"/>
  <c r="H105" i="1"/>
  <c r="D105" i="1"/>
  <c r="AM105" i="1" s="1"/>
  <c r="AM104" i="1"/>
  <c r="AL104" i="1"/>
  <c r="AG104" i="1"/>
  <c r="AB104" i="1"/>
  <c r="X104" i="1"/>
  <c r="W104" i="1"/>
  <c r="R104" i="1"/>
  <c r="N104" i="1"/>
  <c r="M104" i="1"/>
  <c r="H104" i="1"/>
  <c r="I104" i="1" s="1"/>
  <c r="D104" i="1"/>
  <c r="AC104" i="1" s="1"/>
  <c r="AM103" i="1"/>
  <c r="AL103" i="1"/>
  <c r="AG103" i="1"/>
  <c r="AC103" i="1"/>
  <c r="AB103" i="1"/>
  <c r="X103" i="1"/>
  <c r="W103" i="1"/>
  <c r="S103" i="1"/>
  <c r="R103" i="1"/>
  <c r="N103" i="1"/>
  <c r="M103" i="1"/>
  <c r="I103" i="1"/>
  <c r="H103" i="1"/>
  <c r="D103" i="1"/>
  <c r="AH103" i="1" s="1"/>
  <c r="AM102" i="1"/>
  <c r="AL102" i="1"/>
  <c r="AH102" i="1"/>
  <c r="AG102" i="1"/>
  <c r="AC102" i="1"/>
  <c r="AB102" i="1"/>
  <c r="W102" i="1"/>
  <c r="S102" i="1"/>
  <c r="R102" i="1"/>
  <c r="N102" i="1"/>
  <c r="M102" i="1"/>
  <c r="H102" i="1"/>
  <c r="I102" i="1" s="1"/>
  <c r="D102" i="1"/>
  <c r="X102" i="1" s="1"/>
  <c r="AL101" i="1"/>
  <c r="AG101" i="1"/>
  <c r="AB101" i="1"/>
  <c r="W101" i="1"/>
  <c r="S101" i="1"/>
  <c r="R101" i="1"/>
  <c r="N101" i="1"/>
  <c r="M101" i="1"/>
  <c r="I101" i="1"/>
  <c r="H101" i="1"/>
  <c r="D101" i="1"/>
  <c r="AM101" i="1" s="1"/>
  <c r="AL100" i="1"/>
  <c r="AG100" i="1"/>
  <c r="AC100" i="1"/>
  <c r="AB100" i="1"/>
  <c r="W100" i="1"/>
  <c r="R100" i="1"/>
  <c r="N100" i="1"/>
  <c r="M100" i="1"/>
  <c r="H100" i="1"/>
  <c r="I100" i="1" s="1"/>
  <c r="D100" i="1"/>
  <c r="S100" i="1" s="1"/>
  <c r="AL99" i="1"/>
  <c r="AG99" i="1"/>
  <c r="AB99" i="1"/>
  <c r="W99" i="1"/>
  <c r="R99" i="1"/>
  <c r="M99" i="1"/>
  <c r="I99" i="1"/>
  <c r="H99" i="1"/>
  <c r="D99" i="1"/>
  <c r="AM99" i="1" s="1"/>
  <c r="AM98" i="1"/>
  <c r="AL98" i="1"/>
  <c r="AG98" i="1"/>
  <c r="AC98" i="1"/>
  <c r="AB98" i="1"/>
  <c r="X98" i="1"/>
  <c r="W98" i="1"/>
  <c r="R98" i="1"/>
  <c r="M98" i="1"/>
  <c r="H98" i="1"/>
  <c r="I98" i="1" s="1"/>
  <c r="D98" i="1"/>
  <c r="N98" i="1" s="1"/>
  <c r="AM97" i="1"/>
  <c r="AL97" i="1"/>
  <c r="AG97" i="1"/>
  <c r="AB97" i="1"/>
  <c r="W97" i="1"/>
  <c r="R97" i="1"/>
  <c r="M97" i="1"/>
  <c r="H97" i="1"/>
  <c r="I97" i="1" s="1"/>
  <c r="D97" i="1"/>
  <c r="AH97" i="1" s="1"/>
  <c r="AL96" i="1"/>
  <c r="AG96" i="1"/>
  <c r="AB96" i="1"/>
  <c r="W96" i="1"/>
  <c r="R96" i="1"/>
  <c r="M96" i="1"/>
  <c r="H96" i="1"/>
  <c r="I96" i="1" s="1"/>
  <c r="D96" i="1"/>
  <c r="AM96" i="1" s="1"/>
  <c r="AM95" i="1"/>
  <c r="AL95" i="1"/>
  <c r="AH95" i="1"/>
  <c r="AG95" i="1"/>
  <c r="AB95" i="1"/>
  <c r="W95" i="1"/>
  <c r="R95" i="1"/>
  <c r="M95" i="1"/>
  <c r="I95" i="1"/>
  <c r="H95" i="1"/>
  <c r="D95" i="1"/>
  <c r="AC95" i="1" s="1"/>
  <c r="AM94" i="1"/>
  <c r="AL94" i="1"/>
  <c r="AH94" i="1"/>
  <c r="AG94" i="1"/>
  <c r="AC94" i="1"/>
  <c r="AB94" i="1"/>
  <c r="W94" i="1"/>
  <c r="S94" i="1"/>
  <c r="R94" i="1"/>
  <c r="N94" i="1"/>
  <c r="M94" i="1"/>
  <c r="H94" i="1"/>
  <c r="I94" i="1" s="1"/>
  <c r="D94" i="1"/>
  <c r="X94" i="1" s="1"/>
  <c r="AM93" i="1"/>
  <c r="AL93" i="1"/>
  <c r="AH93" i="1"/>
  <c r="AG93" i="1"/>
  <c r="AC93" i="1"/>
  <c r="AB93" i="1"/>
  <c r="X93" i="1"/>
  <c r="W93" i="1"/>
  <c r="R93" i="1"/>
  <c r="N93" i="1"/>
  <c r="M93" i="1"/>
  <c r="H93" i="1"/>
  <c r="I93" i="1" s="1"/>
  <c r="D93" i="1"/>
  <c r="S93" i="1" s="1"/>
  <c r="AL92" i="1"/>
  <c r="AH92" i="1"/>
  <c r="AG92" i="1"/>
  <c r="AC92" i="1"/>
  <c r="AB92" i="1"/>
  <c r="X92" i="1"/>
  <c r="W92" i="1"/>
  <c r="R92" i="1"/>
  <c r="N92" i="1"/>
  <c r="M92" i="1"/>
  <c r="I92" i="1"/>
  <c r="H92" i="1"/>
  <c r="D92" i="1"/>
  <c r="AM92" i="1" s="1"/>
  <c r="AM91" i="1"/>
  <c r="AL91" i="1"/>
  <c r="AH91" i="1"/>
  <c r="AG91" i="1"/>
  <c r="AC91" i="1"/>
  <c r="AB91" i="1"/>
  <c r="X91" i="1"/>
  <c r="W91" i="1"/>
  <c r="S91" i="1"/>
  <c r="R91" i="1"/>
  <c r="N91" i="1"/>
  <c r="M91" i="1"/>
  <c r="H91" i="1"/>
  <c r="I91" i="1" s="1"/>
  <c r="D91" i="1"/>
  <c r="AL90" i="1"/>
  <c r="AG90" i="1"/>
  <c r="AC90" i="1"/>
  <c r="AB90" i="1"/>
  <c r="W90" i="1"/>
  <c r="R90" i="1"/>
  <c r="M90" i="1"/>
  <c r="H90" i="1"/>
  <c r="I90" i="1" s="1"/>
  <c r="D90" i="1"/>
  <c r="AH90" i="1" s="1"/>
  <c r="AL89" i="1"/>
  <c r="AG89" i="1"/>
  <c r="AC89" i="1"/>
  <c r="AB89" i="1"/>
  <c r="X89" i="1"/>
  <c r="W89" i="1"/>
  <c r="S89" i="1"/>
  <c r="R89" i="1"/>
  <c r="N89" i="1"/>
  <c r="M89" i="1"/>
  <c r="I89" i="1"/>
  <c r="H89" i="1"/>
  <c r="D89" i="1"/>
  <c r="AM89" i="1" s="1"/>
  <c r="AM88" i="1"/>
  <c r="AL88" i="1"/>
  <c r="AG88" i="1"/>
  <c r="AB88" i="1"/>
  <c r="X88" i="1"/>
  <c r="W88" i="1"/>
  <c r="R88" i="1"/>
  <c r="N88" i="1"/>
  <c r="M88" i="1"/>
  <c r="H88" i="1"/>
  <c r="I88" i="1" s="1"/>
  <c r="D88" i="1"/>
  <c r="AC88" i="1" s="1"/>
  <c r="AM87" i="1"/>
  <c r="AL87" i="1"/>
  <c r="AG87" i="1"/>
  <c r="AC87" i="1"/>
  <c r="AB87" i="1"/>
  <c r="X87" i="1"/>
  <c r="W87" i="1"/>
  <c r="S87" i="1"/>
  <c r="R87" i="1"/>
  <c r="N87" i="1"/>
  <c r="M87" i="1"/>
  <c r="I87" i="1"/>
  <c r="H87" i="1"/>
  <c r="D87" i="1"/>
  <c r="AH87" i="1" s="1"/>
  <c r="AM86" i="1"/>
  <c r="AL86" i="1"/>
  <c r="AH86" i="1"/>
  <c r="AG86" i="1"/>
  <c r="AC86" i="1"/>
  <c r="AB86" i="1"/>
  <c r="W86" i="1"/>
  <c r="S86" i="1"/>
  <c r="R86" i="1"/>
  <c r="N86" i="1"/>
  <c r="M86" i="1"/>
  <c r="H86" i="1"/>
  <c r="I86" i="1" s="1"/>
  <c r="D86" i="1"/>
  <c r="X86" i="1" s="1"/>
  <c r="AL85" i="1"/>
  <c r="AG85" i="1"/>
  <c r="AB85" i="1"/>
  <c r="W85" i="1"/>
  <c r="S85" i="1"/>
  <c r="R85" i="1"/>
  <c r="N85" i="1"/>
  <c r="M85" i="1"/>
  <c r="I85" i="1"/>
  <c r="H85" i="1"/>
  <c r="D85" i="1"/>
  <c r="AM85" i="1" s="1"/>
  <c r="AL84" i="1"/>
  <c r="AG84" i="1"/>
  <c r="AC84" i="1"/>
  <c r="AB84" i="1"/>
  <c r="W84" i="1"/>
  <c r="R84" i="1"/>
  <c r="N84" i="1"/>
  <c r="M84" i="1"/>
  <c r="H84" i="1"/>
  <c r="I84" i="1" s="1"/>
  <c r="D84" i="1"/>
  <c r="S84" i="1" s="1"/>
  <c r="AL83" i="1"/>
  <c r="AG83" i="1"/>
  <c r="AB83" i="1"/>
  <c r="W83" i="1"/>
  <c r="R83" i="1"/>
  <c r="M83" i="1"/>
  <c r="I83" i="1"/>
  <c r="H83" i="1"/>
  <c r="D83" i="1"/>
  <c r="AM83" i="1" s="1"/>
  <c r="AM82" i="1"/>
  <c r="AL82" i="1"/>
  <c r="AG82" i="1"/>
  <c r="AC82" i="1"/>
  <c r="AB82" i="1"/>
  <c r="X82" i="1"/>
  <c r="W82" i="1"/>
  <c r="R82" i="1"/>
  <c r="M82" i="1"/>
  <c r="H82" i="1"/>
  <c r="I82" i="1" s="1"/>
  <c r="D82" i="1"/>
  <c r="N82" i="1" s="1"/>
  <c r="AM81" i="1"/>
  <c r="AL81" i="1"/>
  <c r="AG81" i="1"/>
  <c r="AB81" i="1"/>
  <c r="W81" i="1"/>
  <c r="R81" i="1"/>
  <c r="M81" i="1"/>
  <c r="H81" i="1"/>
  <c r="I81" i="1" s="1"/>
  <c r="D81" i="1"/>
  <c r="AH81" i="1" s="1"/>
  <c r="AL80" i="1"/>
  <c r="AG80" i="1"/>
  <c r="AB80" i="1"/>
  <c r="W80" i="1"/>
  <c r="R80" i="1"/>
  <c r="M80" i="1"/>
  <c r="H80" i="1"/>
  <c r="I80" i="1" s="1"/>
  <c r="D80" i="1"/>
  <c r="AM80" i="1" s="1"/>
  <c r="AM79" i="1"/>
  <c r="AL79" i="1"/>
  <c r="AH79" i="1"/>
  <c r="AG79" i="1"/>
  <c r="AB79" i="1"/>
  <c r="W79" i="1"/>
  <c r="R79" i="1"/>
  <c r="M79" i="1"/>
  <c r="I79" i="1"/>
  <c r="H79" i="1"/>
  <c r="D79" i="1"/>
  <c r="AC79" i="1" s="1"/>
  <c r="AM78" i="1"/>
  <c r="AL78" i="1"/>
  <c r="AH78" i="1"/>
  <c r="AG78" i="1"/>
  <c r="AC78" i="1"/>
  <c r="AB78" i="1"/>
  <c r="W78" i="1"/>
  <c r="S78" i="1"/>
  <c r="R78" i="1"/>
  <c r="N78" i="1"/>
  <c r="M78" i="1"/>
  <c r="H78" i="1"/>
  <c r="I78" i="1" s="1"/>
  <c r="D78" i="1"/>
  <c r="X78" i="1" s="1"/>
  <c r="AM77" i="1"/>
  <c r="AL77" i="1"/>
  <c r="AH77" i="1"/>
  <c r="AG77" i="1"/>
  <c r="AC77" i="1"/>
  <c r="AB77" i="1"/>
  <c r="X77" i="1"/>
  <c r="W77" i="1"/>
  <c r="R77" i="1"/>
  <c r="N77" i="1"/>
  <c r="M77" i="1"/>
  <c r="H77" i="1"/>
  <c r="I77" i="1" s="1"/>
  <c r="D77" i="1"/>
  <c r="S77" i="1" s="1"/>
  <c r="AL76" i="1"/>
  <c r="AH76" i="1"/>
  <c r="AG76" i="1"/>
  <c r="AB76" i="1"/>
  <c r="X76" i="1"/>
  <c r="W76" i="1"/>
  <c r="R76" i="1"/>
  <c r="N76" i="1"/>
  <c r="M76" i="1"/>
  <c r="I76" i="1"/>
  <c r="H76" i="1"/>
  <c r="D76" i="1"/>
  <c r="AM76" i="1" s="1"/>
  <c r="AM75" i="1"/>
  <c r="AL75" i="1"/>
  <c r="AH75" i="1"/>
  <c r="AG75" i="1"/>
  <c r="AC75" i="1"/>
  <c r="AB75" i="1"/>
  <c r="X75" i="1"/>
  <c r="W75" i="1"/>
  <c r="S75" i="1"/>
  <c r="R75" i="1"/>
  <c r="N75" i="1"/>
  <c r="M75" i="1"/>
  <c r="H75" i="1"/>
  <c r="I75" i="1" s="1"/>
  <c r="D75" i="1"/>
  <c r="AL74" i="1"/>
  <c r="AG74" i="1"/>
  <c r="AC74" i="1"/>
  <c r="AB74" i="1"/>
  <c r="W74" i="1"/>
  <c r="R74" i="1"/>
  <c r="M74" i="1"/>
  <c r="H74" i="1"/>
  <c r="I74" i="1" s="1"/>
  <c r="D74" i="1"/>
  <c r="AH74" i="1" s="1"/>
  <c r="I73" i="1"/>
  <c r="D73" i="1"/>
  <c r="N73" i="1" s="1"/>
  <c r="AC72" i="1"/>
  <c r="X72" i="1"/>
  <c r="S72" i="1"/>
  <c r="N72" i="1"/>
  <c r="I72" i="1"/>
  <c r="D72" i="1"/>
  <c r="AC71" i="1"/>
  <c r="X71" i="1"/>
  <c r="S71" i="1"/>
  <c r="N71" i="1"/>
  <c r="I71" i="1"/>
  <c r="D71" i="1"/>
  <c r="AC70" i="1"/>
  <c r="S70" i="1"/>
  <c r="N70" i="1"/>
  <c r="I70" i="1"/>
  <c r="D70" i="1"/>
  <c r="X70" i="1" s="1"/>
  <c r="AC69" i="1"/>
  <c r="X69" i="1"/>
  <c r="S69" i="1"/>
  <c r="I69" i="1"/>
  <c r="D69" i="1"/>
  <c r="N69" i="1" s="1"/>
  <c r="AM68" i="1"/>
  <c r="AL68" i="1"/>
  <c r="AG68" i="1"/>
  <c r="AC68" i="1"/>
  <c r="AB68" i="1"/>
  <c r="X68" i="1"/>
  <c r="W68" i="1"/>
  <c r="S68" i="1"/>
  <c r="R68" i="1"/>
  <c r="N68" i="1"/>
  <c r="M68" i="1"/>
  <c r="I68" i="1"/>
  <c r="H68" i="1"/>
  <c r="D68" i="1"/>
  <c r="AH68" i="1" s="1"/>
  <c r="AM67" i="1"/>
  <c r="AL67" i="1"/>
  <c r="AH67" i="1"/>
  <c r="AG67" i="1"/>
  <c r="AC67" i="1"/>
  <c r="AB67" i="1"/>
  <c r="W67" i="1"/>
  <c r="S67" i="1"/>
  <c r="R67" i="1"/>
  <c r="N67" i="1"/>
  <c r="M67" i="1"/>
  <c r="H67" i="1"/>
  <c r="I67" i="1" s="1"/>
  <c r="D67" i="1"/>
  <c r="X67" i="1" s="1"/>
  <c r="AL66" i="1"/>
  <c r="AG66" i="1"/>
  <c r="AB66" i="1"/>
  <c r="W66" i="1"/>
  <c r="S66" i="1"/>
  <c r="R66" i="1"/>
  <c r="N66" i="1"/>
  <c r="M66" i="1"/>
  <c r="I66" i="1"/>
  <c r="H66" i="1"/>
  <c r="D66" i="1"/>
  <c r="AM66" i="1" s="1"/>
  <c r="AL65" i="1"/>
  <c r="AG65" i="1"/>
  <c r="AC65" i="1"/>
  <c r="AB65" i="1"/>
  <c r="W65" i="1"/>
  <c r="R65" i="1"/>
  <c r="N65" i="1"/>
  <c r="M65" i="1"/>
  <c r="H65" i="1"/>
  <c r="I65" i="1" s="1"/>
  <c r="D65" i="1"/>
  <c r="S65" i="1" s="1"/>
  <c r="AL64" i="1"/>
  <c r="AG64" i="1"/>
  <c r="AB64" i="1"/>
  <c r="W64" i="1"/>
  <c r="R64" i="1"/>
  <c r="M64" i="1"/>
  <c r="I64" i="1"/>
  <c r="H64" i="1"/>
  <c r="D64" i="1"/>
  <c r="AM64" i="1" s="1"/>
  <c r="AM63" i="1"/>
  <c r="AL63" i="1"/>
  <c r="AG63" i="1"/>
  <c r="AC63" i="1"/>
  <c r="AB63" i="1"/>
  <c r="X63" i="1"/>
  <c r="W63" i="1"/>
  <c r="S63" i="1"/>
  <c r="R63" i="1"/>
  <c r="M63" i="1"/>
  <c r="H63" i="1"/>
  <c r="I63" i="1" s="1"/>
  <c r="D63" i="1"/>
  <c r="N63" i="1" s="1"/>
  <c r="AM62" i="1"/>
  <c r="I62" i="1"/>
  <c r="D62" i="1"/>
  <c r="AH62" i="1" s="1"/>
  <c r="AH61" i="1"/>
  <c r="AC61" i="1"/>
  <c r="S61" i="1"/>
  <c r="N61" i="1"/>
  <c r="I61" i="1"/>
  <c r="D61" i="1"/>
  <c r="X61" i="1" s="1"/>
  <c r="AM60" i="1"/>
  <c r="I60" i="1"/>
  <c r="D60" i="1"/>
  <c r="AH60" i="1" s="1"/>
  <c r="AH59" i="1"/>
  <c r="AC59" i="1"/>
  <c r="S59" i="1"/>
  <c r="N59" i="1"/>
  <c r="I59" i="1"/>
  <c r="D59" i="1"/>
  <c r="X59" i="1" s="1"/>
  <c r="AM58" i="1"/>
  <c r="I58" i="1"/>
  <c r="D58" i="1"/>
  <c r="AH58" i="1" s="1"/>
  <c r="AH57" i="1"/>
  <c r="AC57" i="1"/>
  <c r="S57" i="1"/>
  <c r="N57" i="1"/>
  <c r="I57" i="1"/>
  <c r="D57" i="1"/>
  <c r="X57" i="1" s="1"/>
  <c r="AM56" i="1"/>
  <c r="I56" i="1"/>
  <c r="D56" i="1"/>
  <c r="AH56" i="1" s="1"/>
  <c r="AH55" i="1"/>
  <c r="AC55" i="1"/>
  <c r="S55" i="1"/>
  <c r="N55" i="1"/>
  <c r="I55" i="1"/>
  <c r="D55" i="1"/>
  <c r="X55" i="1" s="1"/>
  <c r="AM54" i="1"/>
  <c r="I54" i="1"/>
  <c r="D54" i="1"/>
  <c r="AH54" i="1" s="1"/>
  <c r="AH53" i="1"/>
  <c r="AC53" i="1"/>
  <c r="S53" i="1"/>
  <c r="N53" i="1"/>
  <c r="I53" i="1"/>
  <c r="D53" i="1"/>
  <c r="X53" i="1" s="1"/>
  <c r="AM52" i="1"/>
  <c r="I52" i="1"/>
  <c r="D52" i="1"/>
  <c r="AH52" i="1" s="1"/>
  <c r="AH51" i="1"/>
  <c r="AC51" i="1"/>
  <c r="S51" i="1"/>
  <c r="N51" i="1"/>
  <c r="I51" i="1"/>
  <c r="D51" i="1"/>
  <c r="X51" i="1" s="1"/>
  <c r="AC50" i="1"/>
  <c r="X50" i="1"/>
  <c r="S50" i="1"/>
  <c r="I50" i="1"/>
  <c r="D50" i="1"/>
  <c r="N50" i="1" s="1"/>
  <c r="AC49" i="1"/>
  <c r="X49" i="1"/>
  <c r="N49" i="1"/>
  <c r="I49" i="1"/>
  <c r="D49" i="1"/>
  <c r="S49" i="1" s="1"/>
  <c r="AC48" i="1"/>
  <c r="X48" i="1"/>
  <c r="S48" i="1"/>
  <c r="I48" i="1"/>
  <c r="D48" i="1"/>
  <c r="N48" i="1" s="1"/>
  <c r="I47" i="1"/>
  <c r="D47" i="1"/>
  <c r="AC47" i="1" s="1"/>
  <c r="I46" i="1"/>
  <c r="D46" i="1"/>
  <c r="N46" i="1" s="1"/>
  <c r="AC45" i="1"/>
  <c r="X45" i="1"/>
  <c r="S45" i="1"/>
  <c r="N45" i="1"/>
  <c r="I45" i="1"/>
  <c r="D45" i="1"/>
  <c r="AC44" i="1"/>
  <c r="X44" i="1"/>
  <c r="S44" i="1"/>
  <c r="N44" i="1"/>
  <c r="I44" i="1"/>
  <c r="D44" i="1"/>
  <c r="AC43" i="1"/>
  <c r="S43" i="1"/>
  <c r="N43" i="1"/>
  <c r="I43" i="1"/>
  <c r="D43" i="1"/>
  <c r="X43" i="1" s="1"/>
  <c r="AC42" i="1"/>
  <c r="X42" i="1"/>
  <c r="S42" i="1"/>
  <c r="I42" i="1"/>
  <c r="D42" i="1"/>
  <c r="N42" i="1" s="1"/>
  <c r="I41" i="1"/>
  <c r="D41" i="1"/>
  <c r="X41" i="1" s="1"/>
  <c r="AC40" i="1"/>
  <c r="X40" i="1"/>
  <c r="S40" i="1"/>
  <c r="I40" i="1"/>
  <c r="D40" i="1"/>
  <c r="N40" i="1" s="1"/>
  <c r="I39" i="1"/>
  <c r="D39" i="1"/>
  <c r="AC39" i="1" s="1"/>
  <c r="AC38" i="1"/>
  <c r="X38" i="1"/>
  <c r="S38" i="1"/>
  <c r="N38" i="1"/>
  <c r="AC37" i="1"/>
  <c r="X37" i="1"/>
  <c r="S37" i="1"/>
  <c r="N37" i="1"/>
  <c r="AC36" i="1"/>
  <c r="X36" i="1"/>
  <c r="S36" i="1"/>
  <c r="N36" i="1"/>
  <c r="AC35" i="1"/>
  <c r="X35" i="1"/>
  <c r="S35" i="1"/>
  <c r="N35" i="1"/>
  <c r="AC34" i="1"/>
  <c r="X34" i="1"/>
  <c r="S34" i="1"/>
  <c r="N34" i="1"/>
  <c r="AC33" i="1"/>
  <c r="X33" i="1"/>
  <c r="S33" i="1"/>
  <c r="N33" i="1"/>
  <c r="AC32" i="1"/>
  <c r="X32" i="1"/>
  <c r="S32" i="1"/>
  <c r="N32" i="1"/>
  <c r="AC31" i="1"/>
  <c r="X31" i="1"/>
  <c r="S31" i="1"/>
  <c r="N31" i="1"/>
  <c r="AC30" i="1"/>
  <c r="X30" i="1"/>
  <c r="S30" i="1"/>
  <c r="N30" i="1"/>
  <c r="AC29" i="1"/>
  <c r="X29" i="1"/>
  <c r="S29" i="1"/>
  <c r="N29" i="1"/>
  <c r="AC28" i="1"/>
  <c r="X28" i="1"/>
  <c r="S28" i="1"/>
  <c r="N28" i="1"/>
  <c r="AC27" i="1"/>
  <c r="X27" i="1"/>
  <c r="S27" i="1"/>
  <c r="N27" i="1"/>
  <c r="AC26" i="1"/>
  <c r="X26" i="1"/>
  <c r="S26" i="1"/>
  <c r="N26" i="1"/>
  <c r="AC25" i="1"/>
  <c r="X25" i="1"/>
  <c r="S25" i="1"/>
  <c r="N25" i="1"/>
  <c r="AC24" i="1"/>
  <c r="X24" i="1"/>
  <c r="S24" i="1"/>
  <c r="N24" i="1"/>
  <c r="AC23" i="1"/>
  <c r="X23" i="1"/>
  <c r="S23" i="1"/>
  <c r="N23" i="1"/>
  <c r="AC22" i="1"/>
  <c r="X22" i="1"/>
  <c r="S22" i="1"/>
  <c r="N22" i="1"/>
  <c r="AC21" i="1"/>
  <c r="X21" i="1"/>
  <c r="S21" i="1"/>
  <c r="N21" i="1"/>
  <c r="AC20" i="1"/>
  <c r="X20" i="1"/>
  <c r="S20" i="1"/>
  <c r="N20" i="1"/>
  <c r="D19" i="1"/>
  <c r="AC19" i="1" s="1"/>
  <c r="D18" i="1"/>
  <c r="AC18" i="1" s="1"/>
  <c r="AC17" i="1"/>
  <c r="X17" i="1"/>
  <c r="S17" i="1"/>
  <c r="D17" i="1"/>
  <c r="N17" i="1" s="1"/>
  <c r="D16" i="1"/>
  <c r="AC16" i="1" s="1"/>
  <c r="AC15" i="1"/>
  <c r="D15" i="1"/>
  <c r="X15" i="1" s="1"/>
  <c r="AC14" i="1"/>
  <c r="X14" i="1"/>
  <c r="S14" i="1"/>
  <c r="N14" i="1"/>
  <c r="D14" i="1"/>
  <c r="AC13" i="1"/>
  <c r="D13" i="1"/>
  <c r="X13" i="1" s="1"/>
  <c r="AC12" i="1"/>
  <c r="X12" i="1"/>
  <c r="D12" i="1"/>
  <c r="S12" i="1" s="1"/>
  <c r="D11" i="1"/>
  <c r="AC11" i="1" s="1"/>
  <c r="AC10" i="1"/>
  <c r="X10" i="1"/>
  <c r="D10" i="1"/>
  <c r="S10" i="1" s="1"/>
  <c r="AC9" i="1"/>
  <c r="X9" i="1"/>
  <c r="S9" i="1"/>
  <c r="D9" i="1"/>
  <c r="N9" i="1" s="1"/>
  <c r="AC8" i="1"/>
  <c r="X8" i="1"/>
  <c r="S8" i="1"/>
  <c r="N8" i="1"/>
  <c r="AC7" i="1"/>
  <c r="X7" i="1"/>
  <c r="S7" i="1"/>
  <c r="N7" i="1"/>
  <c r="AC6" i="1"/>
  <c r="X6" i="1"/>
  <c r="S6" i="1"/>
  <c r="N6" i="1"/>
  <c r="AC5" i="1"/>
  <c r="X5" i="1"/>
  <c r="S5" i="1"/>
  <c r="N5" i="1"/>
  <c r="N11" i="1" l="1"/>
  <c r="S11" i="1"/>
  <c r="X11" i="1"/>
  <c r="N18" i="1"/>
  <c r="N64" i="1"/>
  <c r="N83" i="1"/>
  <c r="N99" i="1"/>
  <c r="N15" i="1"/>
  <c r="S18" i="1"/>
  <c r="N12" i="1"/>
  <c r="S15" i="1"/>
  <c r="X18" i="1"/>
  <c r="S46" i="1"/>
  <c r="S64" i="1"/>
  <c r="X66" i="1"/>
  <c r="S73" i="1"/>
  <c r="N81" i="1"/>
  <c r="S83" i="1"/>
  <c r="X85" i="1"/>
  <c r="AH89" i="1"/>
  <c r="N97" i="1"/>
  <c r="S99" i="1"/>
  <c r="X101" i="1"/>
  <c r="AH105" i="1"/>
  <c r="S110" i="1"/>
  <c r="N41" i="1"/>
  <c r="X46" i="1"/>
  <c r="X65" i="1"/>
  <c r="X73" i="1"/>
  <c r="AM74" i="1"/>
  <c r="N80" i="1"/>
  <c r="S82" i="1"/>
  <c r="X84" i="1"/>
  <c r="AH88" i="1"/>
  <c r="AM90" i="1"/>
  <c r="N96" i="1"/>
  <c r="S98" i="1"/>
  <c r="X100" i="1"/>
  <c r="AH104" i="1"/>
  <c r="AM106" i="1"/>
  <c r="X110" i="1"/>
  <c r="S41" i="1"/>
  <c r="AC46" i="1"/>
  <c r="AM51" i="1"/>
  <c r="AM53" i="1"/>
  <c r="AM55" i="1"/>
  <c r="AM57" i="1"/>
  <c r="AM59" i="1"/>
  <c r="AM61" i="1"/>
  <c r="X64" i="1"/>
  <c r="AC66" i="1"/>
  <c r="AC73" i="1"/>
  <c r="N79" i="1"/>
  <c r="S81" i="1"/>
  <c r="X83" i="1"/>
  <c r="AC85" i="1"/>
  <c r="N95" i="1"/>
  <c r="S97" i="1"/>
  <c r="X99" i="1"/>
  <c r="AC101" i="1"/>
  <c r="AC110" i="1"/>
  <c r="N19" i="1"/>
  <c r="N16" i="1"/>
  <c r="AC64" i="1"/>
  <c r="S79" i="1"/>
  <c r="AH85" i="1"/>
  <c r="S95" i="1"/>
  <c r="AH101" i="1"/>
  <c r="N13" i="1"/>
  <c r="S16" i="1"/>
  <c r="X19" i="1"/>
  <c r="N39" i="1"/>
  <c r="N47" i="1"/>
  <c r="N52" i="1"/>
  <c r="N54" i="1"/>
  <c r="N56" i="1"/>
  <c r="N58" i="1"/>
  <c r="N60" i="1"/>
  <c r="N62" i="1"/>
  <c r="AH65" i="1"/>
  <c r="X80" i="1"/>
  <c r="AH84" i="1"/>
  <c r="X96" i="1"/>
  <c r="AH100" i="1"/>
  <c r="N111" i="1"/>
  <c r="S80" i="1"/>
  <c r="S96" i="1"/>
  <c r="AC41" i="1"/>
  <c r="X81" i="1"/>
  <c r="X97" i="1"/>
  <c r="N10" i="1"/>
  <c r="X16" i="1"/>
  <c r="S39" i="1"/>
  <c r="S47" i="1"/>
  <c r="S52" i="1"/>
  <c r="S56" i="1"/>
  <c r="S60" i="1"/>
  <c r="X79" i="1"/>
  <c r="AC81" i="1"/>
  <c r="AH83" i="1"/>
  <c r="X95" i="1"/>
  <c r="AC97" i="1"/>
  <c r="AH99" i="1"/>
  <c r="S111" i="1"/>
  <c r="S19" i="1"/>
  <c r="AH66" i="1"/>
  <c r="AC83" i="1"/>
  <c r="AC99" i="1"/>
  <c r="S13" i="1"/>
  <c r="S54" i="1"/>
  <c r="S58" i="1"/>
  <c r="S62" i="1"/>
  <c r="AH64" i="1"/>
  <c r="X39" i="1"/>
  <c r="X47" i="1"/>
  <c r="X52" i="1"/>
  <c r="X54" i="1"/>
  <c r="X56" i="1"/>
  <c r="X58" i="1"/>
  <c r="X60" i="1"/>
  <c r="X62" i="1"/>
  <c r="AH63" i="1"/>
  <c r="AM65" i="1"/>
  <c r="N74" i="1"/>
  <c r="S76" i="1"/>
  <c r="AC80" i="1"/>
  <c r="AH82" i="1"/>
  <c r="AM84" i="1"/>
  <c r="N90" i="1"/>
  <c r="S92" i="1"/>
  <c r="AC96" i="1"/>
  <c r="AH98" i="1"/>
  <c r="AM100" i="1"/>
  <c r="N106" i="1"/>
  <c r="X111" i="1"/>
  <c r="AC52" i="1"/>
  <c r="AC54" i="1"/>
  <c r="AC56" i="1"/>
  <c r="AC58" i="1"/>
  <c r="AC60" i="1"/>
  <c r="AC62" i="1"/>
  <c r="S74" i="1"/>
  <c r="AH80" i="1"/>
  <c r="S90" i="1"/>
  <c r="AH96" i="1"/>
  <c r="S106" i="1"/>
  <c r="X74" i="1"/>
  <c r="AC76" i="1"/>
  <c r="S88" i="1"/>
  <c r="X90" i="1"/>
  <c r="S104" i="1"/>
  <c r="X106" i="1"/>
</calcChain>
</file>

<file path=xl/sharedStrings.xml><?xml version="1.0" encoding="utf-8"?>
<sst xmlns="http://schemas.openxmlformats.org/spreadsheetml/2006/main" count="140" uniqueCount="28">
  <si>
    <t>奇偶交错方式 DMA GET</t>
  </si>
  <si>
    <t>lda = bk * 8 * 1</t>
  </si>
  <si>
    <t>lda = bk * 8 * 2</t>
  </si>
  <si>
    <t>lda = bk * 8 * 3</t>
  </si>
  <si>
    <t>lda = bk * 8 * 4</t>
  </si>
  <si>
    <t>lda = bk * 8 * 5</t>
  </si>
  <si>
    <t>lda = bk * 8 * 6</t>
  </si>
  <si>
    <t>lda = bk * 8 * 7</t>
  </si>
  <si>
    <t>lda = bk * 8 * 8</t>
  </si>
  <si>
    <t>half 个数</t>
  </si>
  <si>
    <t>bm</t>
  </si>
  <si>
    <t>bk</t>
  </si>
  <si>
    <t>lda</t>
  </si>
  <si>
    <t>BW(GB/s)</t>
  </si>
  <si>
    <t>1 个bank行</t>
  </si>
  <si>
    <t>2 个bank行</t>
  </si>
  <si>
    <t>4 个bank行</t>
  </si>
  <si>
    <t>8 个bank行</t>
  </si>
  <si>
    <t>loops_ace</t>
  </si>
  <si>
    <t>loops_bench</t>
  </si>
  <si>
    <t>rows_ace_west</t>
  </si>
  <si>
    <t>loops_west_per_north</t>
  </si>
  <si>
    <t>time_us</t>
  </si>
  <si>
    <t>throughput</t>
  </si>
  <si>
    <t>TFlops：81.92</t>
  </si>
  <si>
    <t>2.5Ghz - 单个核取连续数据</t>
  </si>
  <si>
    <t>len(KB)</t>
  </si>
  <si>
    <t>len*32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</si>
</sst>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charset val="134"/>
    </font>
    <font>
      <sz val="10"/>
      <color rgb="FF000000"/>
      <name val="等线"/>
      <charset val="134"/>
    </font>
    <font>
      <b/>
      <sz val="10"/>
      <name val="等线"/>
      <charset val="134"/>
    </font>
    <font>
      <sz val="11"/>
      <name val="等线"/>
      <charset val="134"/>
    </font>
    <font>
      <b/>
      <sz val="10"/>
      <color rgb="FF000000"/>
      <name val="等线"/>
      <charset val="134"/>
    </font>
    <font>
      <b/>
      <sz val="10"/>
      <color rgb="FFFE0300"/>
      <name val="等线"/>
      <charset val="134"/>
    </font>
    <font>
      <sz val="11"/>
      <color rgb="FFFF0000"/>
      <name val="等线"/>
      <charset val="134"/>
    </font>
    <font>
      <b/>
      <sz val="10"/>
      <color rgb="FFEA3324"/>
      <name val="等线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3" fontId="2" fillId="0" borderId="0" xfId="0" applyNumberFormat="1" applyFont="1">
      <alignment vertical="center"/>
    </xf>
    <xf numFmtId="3" fontId="3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4" fontId="2" fillId="0" borderId="0" xfId="0" applyNumberFormat="1" applyFont="1">
      <alignment vertical="center"/>
    </xf>
    <xf numFmtId="3" fontId="2" fillId="0" borderId="1" xfId="0" applyNumberFormat="1" applyFont="1" applyBorder="1">
      <alignment vertical="center"/>
    </xf>
    <xf numFmtId="3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>
      <alignment vertical="center"/>
    </xf>
    <xf numFmtId="3" fontId="4" fillId="0" borderId="3" xfId="0" applyNumberFormat="1" applyFont="1" applyBorder="1">
      <alignment vertical="center"/>
    </xf>
    <xf numFmtId="0" fontId="4" fillId="0" borderId="3" xfId="0" applyFont="1" applyBorder="1">
      <alignment vertical="center"/>
    </xf>
    <xf numFmtId="3" fontId="2" fillId="0" borderId="3" xfId="0" applyNumberFormat="1" applyFont="1" applyBorder="1">
      <alignment vertical="center"/>
    </xf>
    <xf numFmtId="3" fontId="2" fillId="0" borderId="5" xfId="0" applyNumberFormat="1" applyFont="1" applyBorder="1">
      <alignment vertical="center"/>
    </xf>
    <xf numFmtId="3" fontId="2" fillId="0" borderId="6" xfId="0" applyNumberFormat="1" applyFont="1" applyBorder="1">
      <alignment vertical="center"/>
    </xf>
    <xf numFmtId="4" fontId="4" fillId="0" borderId="7" xfId="0" applyNumberFormat="1" applyFont="1" applyBorder="1">
      <alignment vertical="center"/>
    </xf>
    <xf numFmtId="0" fontId="2" fillId="0" borderId="0" xfId="0" applyFont="1">
      <alignment vertical="center"/>
    </xf>
    <xf numFmtId="4" fontId="2" fillId="0" borderId="8" xfId="0" applyNumberFormat="1" applyFont="1" applyBorder="1">
      <alignment vertical="center"/>
    </xf>
    <xf numFmtId="4" fontId="2" fillId="0" borderId="7" xfId="0" applyNumberFormat="1" applyFont="1" applyBorder="1">
      <alignment vertical="center"/>
    </xf>
    <xf numFmtId="0" fontId="5" fillId="0" borderId="0" xfId="0" applyFont="1">
      <alignment vertical="center"/>
    </xf>
    <xf numFmtId="3" fontId="3" fillId="0" borderId="5" xfId="0" applyNumberFormat="1" applyFont="1" applyBorder="1">
      <alignment vertical="center"/>
    </xf>
    <xf numFmtId="3" fontId="4" fillId="0" borderId="9" xfId="0" applyNumberFormat="1" applyFont="1" applyBorder="1">
      <alignment vertical="center"/>
    </xf>
    <xf numFmtId="4" fontId="2" fillId="0" borderId="10" xfId="0" applyNumberFormat="1" applyFont="1" applyBorder="1">
      <alignment vertical="center"/>
    </xf>
    <xf numFmtId="0" fontId="2" fillId="0" borderId="5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4" fillId="0" borderId="12" xfId="0" applyNumberFormat="1" applyFont="1" applyBorder="1">
      <alignment vertical="center"/>
    </xf>
    <xf numFmtId="3" fontId="2" fillId="0" borderId="13" xfId="0" applyNumberFormat="1" applyFont="1" applyBorder="1">
      <alignment vertical="center"/>
    </xf>
    <xf numFmtId="3" fontId="2" fillId="0" borderId="12" xfId="0" applyNumberFormat="1" applyFont="1" applyBorder="1">
      <alignment vertical="center"/>
    </xf>
    <xf numFmtId="0" fontId="5" fillId="0" borderId="14" xfId="0" applyFont="1" applyBorder="1">
      <alignment vertical="center"/>
    </xf>
    <xf numFmtId="0" fontId="5" fillId="0" borderId="15" xfId="0" applyFont="1" applyBorder="1">
      <alignment vertical="center"/>
    </xf>
    <xf numFmtId="4" fontId="2" fillId="0" borderId="16" xfId="0" applyNumberFormat="1" applyFont="1" applyBorder="1">
      <alignment vertical="center"/>
    </xf>
    <xf numFmtId="0" fontId="6" fillId="0" borderId="17" xfId="0" applyFont="1" applyBorder="1" applyAlignment="1">
      <alignment horizontal="center" vertical="center"/>
    </xf>
    <xf numFmtId="0" fontId="5" fillId="0" borderId="11" xfId="0" applyFont="1" applyBorder="1">
      <alignment vertical="center"/>
    </xf>
    <xf numFmtId="4" fontId="3" fillId="0" borderId="10" xfId="0" applyNumberFormat="1" applyFont="1" applyBorder="1">
      <alignment vertical="center"/>
    </xf>
    <xf numFmtId="3" fontId="2" fillId="0" borderId="18" xfId="0" applyNumberFormat="1" applyFont="1" applyBorder="1">
      <alignment vertical="center"/>
    </xf>
    <xf numFmtId="3" fontId="2" fillId="0" borderId="19" xfId="0" applyNumberFormat="1" applyFont="1" applyBorder="1">
      <alignment vertical="center"/>
    </xf>
    <xf numFmtId="0" fontId="7" fillId="0" borderId="17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4" fontId="2" fillId="0" borderId="6" xfId="0" applyNumberFormat="1" applyFont="1" applyBorder="1">
      <alignment vertical="center"/>
    </xf>
    <xf numFmtId="3" fontId="4" fillId="0" borderId="0" xfId="0" applyNumberFormat="1" applyFont="1">
      <alignment vertical="center"/>
    </xf>
    <xf numFmtId="0" fontId="4" fillId="0" borderId="17" xfId="0" applyFont="1" applyBorder="1" applyAlignment="1">
      <alignment horizontal="center" vertical="center"/>
    </xf>
    <xf numFmtId="0" fontId="5" fillId="0" borderId="21" xfId="0" applyFont="1" applyBorder="1">
      <alignment vertical="center"/>
    </xf>
    <xf numFmtId="3" fontId="2" fillId="0" borderId="9" xfId="0" applyNumberFormat="1" applyFont="1" applyBorder="1">
      <alignment vertical="center"/>
    </xf>
    <xf numFmtId="0" fontId="2" fillId="0" borderId="9" xfId="0" applyFont="1" applyBorder="1">
      <alignment vertical="center"/>
    </xf>
    <xf numFmtId="0" fontId="5" fillId="0" borderId="22" xfId="0" applyFont="1" applyBorder="1">
      <alignment vertical="center"/>
    </xf>
    <xf numFmtId="3" fontId="2" fillId="0" borderId="16" xfId="0" applyNumberFormat="1" applyFont="1" applyBorder="1">
      <alignment vertical="center"/>
    </xf>
    <xf numFmtId="3" fontId="2" fillId="0" borderId="8" xfId="0" applyNumberFormat="1" applyFont="1" applyBorder="1">
      <alignment vertical="center"/>
    </xf>
    <xf numFmtId="3" fontId="2" fillId="0" borderId="7" xfId="0" applyNumberFormat="1" applyFont="1" applyBorder="1">
      <alignment vertical="center"/>
    </xf>
    <xf numFmtId="0" fontId="8" fillId="0" borderId="23" xfId="0" applyFont="1" applyBorder="1">
      <alignment vertical="center"/>
    </xf>
    <xf numFmtId="0" fontId="5" fillId="0" borderId="23" xfId="0" applyFont="1" applyBorder="1">
      <alignment vertical="center"/>
    </xf>
    <xf numFmtId="3" fontId="9" fillId="0" borderId="0" xfId="0" applyNumberFormat="1" applyFont="1">
      <alignment vertical="center"/>
    </xf>
    <xf numFmtId="0" fontId="8" fillId="0" borderId="2" xfId="0" applyFont="1" applyBorder="1">
      <alignment vertical="center"/>
    </xf>
    <xf numFmtId="0" fontId="8" fillId="0" borderId="0" xfId="0" applyFont="1">
      <alignment vertical="center"/>
    </xf>
    <xf numFmtId="3" fontId="2" fillId="0" borderId="24" xfId="0" applyNumberFormat="1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3" fontId="2" fillId="0" borderId="2" xfId="0" applyNumberFormat="1" applyFont="1" applyBorder="1">
      <alignment vertical="center"/>
    </xf>
    <xf numFmtId="3" fontId="4" fillId="0" borderId="2" xfId="0" applyNumberFormat="1" applyFont="1" applyBorder="1">
      <alignment vertical="center"/>
    </xf>
    <xf numFmtId="3" fontId="6" fillId="0" borderId="2" xfId="0" applyNumberFormat="1" applyFont="1" applyBorder="1">
      <alignment vertical="center"/>
    </xf>
    <xf numFmtId="4" fontId="2" fillId="0" borderId="25" xfId="0" applyNumberFormat="1" applyFont="1" applyBorder="1">
      <alignment vertical="center"/>
    </xf>
    <xf numFmtId="3" fontId="4" fillId="0" borderId="19" xfId="0" applyNumberFormat="1" applyFont="1" applyBorder="1">
      <alignment vertical="center"/>
    </xf>
    <xf numFmtId="4" fontId="2" fillId="0" borderId="26" xfId="0" applyNumberFormat="1" applyFont="1" applyBorder="1">
      <alignment vertical="center"/>
    </xf>
    <xf numFmtId="3" fontId="3" fillId="0" borderId="13" xfId="0" applyNumberFormat="1" applyFont="1" applyBorder="1">
      <alignment vertical="center"/>
    </xf>
    <xf numFmtId="3" fontId="3" fillId="0" borderId="12" xfId="0" applyNumberFormat="1" applyFont="1" applyBorder="1">
      <alignment vertical="center"/>
    </xf>
    <xf numFmtId="0" fontId="3" fillId="0" borderId="12" xfId="0" applyFont="1" applyBorder="1">
      <alignment vertical="center"/>
    </xf>
    <xf numFmtId="4" fontId="3" fillId="0" borderId="27" xfId="0" applyNumberFormat="1" applyFont="1" applyBorder="1">
      <alignment vertical="center"/>
    </xf>
    <xf numFmtId="4" fontId="3" fillId="0" borderId="16" xfId="0" applyNumberFormat="1" applyFont="1" applyBorder="1">
      <alignment vertical="center"/>
    </xf>
    <xf numFmtId="3" fontId="9" fillId="0" borderId="1" xfId="0" applyNumberFormat="1" applyFont="1" applyBorder="1">
      <alignment vertical="center"/>
    </xf>
    <xf numFmtId="3" fontId="9" fillId="0" borderId="5" xfId="0" applyNumberFormat="1" applyFont="1" applyBorder="1">
      <alignment vertical="center"/>
    </xf>
    <xf numFmtId="0" fontId="9" fillId="0" borderId="5" xfId="0" applyFont="1" applyBorder="1">
      <alignment vertical="center"/>
    </xf>
    <xf numFmtId="4" fontId="2" fillId="0" borderId="28" xfId="0" applyNumberFormat="1" applyFont="1" applyBorder="1">
      <alignment vertical="center"/>
    </xf>
    <xf numFmtId="4" fontId="9" fillId="0" borderId="10" xfId="0" applyNumberFormat="1" applyFont="1" applyBorder="1">
      <alignment vertical="center"/>
    </xf>
    <xf numFmtId="4" fontId="2" fillId="0" borderId="27" xfId="0" applyNumberFormat="1" applyFont="1" applyBorder="1">
      <alignment vertical="center"/>
    </xf>
    <xf numFmtId="4" fontId="3" fillId="0" borderId="0" xfId="0" applyNumberFormat="1" applyFont="1">
      <alignment vertical="center"/>
    </xf>
    <xf numFmtId="3" fontId="2" fillId="0" borderId="29" xfId="0" applyNumberFormat="1" applyFont="1" applyBorder="1">
      <alignment vertical="center"/>
    </xf>
    <xf numFmtId="3" fontId="2" fillId="0" borderId="30" xfId="0" applyNumberFormat="1" applyFont="1" applyBorder="1">
      <alignment vertical="center"/>
    </xf>
    <xf numFmtId="3" fontId="3" fillId="0" borderId="31" xfId="0" applyNumberFormat="1" applyFont="1" applyBorder="1">
      <alignment vertical="center"/>
    </xf>
    <xf numFmtId="3" fontId="2" fillId="0" borderId="32" xfId="0" applyNumberFormat="1" applyFont="1" applyBorder="1">
      <alignment vertical="center"/>
    </xf>
    <xf numFmtId="3" fontId="2" fillId="0" borderId="31" xfId="0" applyNumberFormat="1" applyFont="1" applyBorder="1">
      <alignment vertical="center"/>
    </xf>
    <xf numFmtId="0" fontId="2" fillId="0" borderId="33" xfId="0" applyFont="1" applyBorder="1">
      <alignment vertical="center"/>
    </xf>
    <xf numFmtId="0" fontId="2" fillId="0" borderId="33" xfId="0" applyFont="1" applyBorder="1" applyAlignment="1">
      <alignment horizontal="center" vertical="center"/>
    </xf>
    <xf numFmtId="3" fontId="2" fillId="0" borderId="33" xfId="0" applyNumberFormat="1" applyFont="1" applyBorder="1">
      <alignment vertical="center"/>
    </xf>
    <xf numFmtId="0" fontId="4" fillId="0" borderId="33" xfId="0" applyFont="1" applyBorder="1" applyAlignment="1">
      <alignment horizontal="center" vertical="center"/>
    </xf>
    <xf numFmtId="4" fontId="2" fillId="0" borderId="33" xfId="0" applyNumberFormat="1" applyFont="1" applyBorder="1">
      <alignment vertical="center"/>
    </xf>
    <xf numFmtId="4" fontId="3" fillId="0" borderId="33" xfId="0" applyNumberFormat="1" applyFont="1" applyBorder="1">
      <alignment vertical="center"/>
    </xf>
    <xf numFmtId="4" fontId="3" fillId="0" borderId="28" xfId="0" applyNumberFormat="1" applyFont="1" applyBorder="1">
      <alignment vertical="center"/>
    </xf>
    <xf numFmtId="3" fontId="3" fillId="0" borderId="32" xfId="0" applyNumberFormat="1" applyFont="1" applyBorder="1">
      <alignment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10" fillId="0" borderId="3" xfId="0" applyFont="1" applyBorder="1" applyAlignment="1">
      <alignment horizontal="center" vertical="top"/>
    </xf>
    <xf numFmtId="0" fontId="11" fillId="0" borderId="0" xfId="0" applyFont="1" applyAlignment="1"/>
  </cellXfs>
  <cellStyles count="1">
    <cellStyle name="常规" xfId="0" builtinId="0"/>
  </cellStyles>
  <dxfs count="3">
    <dxf>
      <font>
        <color rgb="FFBD101E"/>
      </font>
      <fill>
        <patternFill>
          <bgColor rgb="FFFBC8CF"/>
        </patternFill>
      </fill>
    </dxf>
    <dxf>
      <font>
        <color rgb="FF813D1A"/>
      </font>
      <fill>
        <patternFill>
          <bgColor rgb="FFFCE3A1"/>
        </patternFill>
      </fill>
    </dxf>
    <dxf>
      <font>
        <color rgb="FF25B059"/>
      </font>
      <fill>
        <patternFill>
          <bgColor rgb="FFC9EDD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2F77E-83CF-464C-AB72-557E848DD034}">
  <sheetPr>
    <outlinePr summaryBelow="0" summaryRight="0"/>
  </sheetPr>
  <dimension ref="A1:BJ248"/>
  <sheetViews>
    <sheetView workbookViewId="0"/>
  </sheetViews>
  <sheetFormatPr defaultColWidth="10" defaultRowHeight="16.5" customHeight="1" x14ac:dyDescent="0.35"/>
  <cols>
    <col min="1" max="1" width="9.53515625" customWidth="1"/>
    <col min="2" max="2" width="7.53515625" customWidth="1"/>
    <col min="3" max="3" width="6.3046875" customWidth="1"/>
    <col min="4" max="4" width="5.921875" customWidth="1"/>
    <col min="5" max="5" width="8.69140625"/>
    <col min="6" max="6" width="3.61328125" customWidth="1"/>
    <col min="7" max="7" width="6.84375" customWidth="1"/>
    <col min="8" max="9" width="6.07421875" customWidth="1"/>
    <col min="10" max="10" width="8.69140625"/>
    <col min="11" max="11" width="3.23046875" customWidth="1"/>
    <col min="12" max="12" width="6.84375" customWidth="1"/>
    <col min="13" max="14" width="6.07421875" customWidth="1"/>
    <col min="15" max="15" width="8.69140625"/>
    <col min="16" max="16" width="3.23046875" customWidth="1"/>
    <col min="17" max="17" width="6.84375" customWidth="1"/>
    <col min="18" max="19" width="6.07421875" customWidth="1"/>
    <col min="20" max="20" width="8.69140625"/>
    <col min="21" max="21" width="3.23046875" customWidth="1"/>
    <col min="22" max="22" width="6.84375" customWidth="1"/>
    <col min="23" max="24" width="6.07421875" customWidth="1"/>
    <col min="25" max="25" width="8.69140625"/>
    <col min="26" max="26" width="3.23046875" customWidth="1"/>
    <col min="27" max="27" width="6.84375" customWidth="1"/>
    <col min="28" max="29" width="6.07421875" customWidth="1"/>
    <col min="30" max="30" width="8.69140625"/>
    <col min="31" max="31" width="3.23046875" customWidth="1"/>
    <col min="32" max="32" width="6.84375" customWidth="1"/>
    <col min="33" max="34" width="6.07421875" customWidth="1"/>
    <col min="35" max="35" width="8.69140625"/>
    <col min="36" max="36" width="5.23046875" style="82" customWidth="1"/>
    <col min="37" max="37" width="6.84375" customWidth="1"/>
    <col min="38" max="39" width="6.07421875" customWidth="1"/>
    <col min="40" max="62" width="8.69140625"/>
  </cols>
  <sheetData>
    <row r="1" spans="1:62" ht="16.5" customHeight="1" x14ac:dyDescent="0.35">
      <c r="B1" s="94" t="s">
        <v>0</v>
      </c>
      <c r="C1" s="94"/>
      <c r="D1" s="94"/>
      <c r="E1" s="94"/>
      <c r="F1" s="94"/>
      <c r="G1" s="94"/>
      <c r="H1" s="94"/>
      <c r="I1" s="94"/>
      <c r="J1" s="94"/>
      <c r="L1" s="24"/>
      <c r="M1" s="24"/>
      <c r="N1" s="24"/>
      <c r="O1" s="24"/>
      <c r="Q1" s="24"/>
      <c r="R1" s="24"/>
      <c r="S1" s="24"/>
      <c r="T1" s="24"/>
      <c r="V1" s="24"/>
      <c r="W1" s="24"/>
      <c r="X1" s="24"/>
      <c r="Y1" s="24"/>
      <c r="AA1" s="24"/>
      <c r="AB1" s="24"/>
      <c r="AC1" s="24"/>
      <c r="AD1" s="24"/>
      <c r="AF1" s="24"/>
      <c r="AG1" s="24"/>
      <c r="AH1" s="24"/>
      <c r="AI1" s="24"/>
      <c r="AJ1" s="83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</row>
    <row r="2" spans="1:62" ht="16.5" customHeight="1" x14ac:dyDescent="0.35">
      <c r="A2" s="57"/>
      <c r="B2" s="92" t="s">
        <v>1</v>
      </c>
      <c r="C2" s="93"/>
      <c r="D2" s="93"/>
      <c r="E2" s="93"/>
      <c r="G2" s="93" t="s">
        <v>2</v>
      </c>
      <c r="H2" s="93"/>
      <c r="I2" s="93"/>
      <c r="J2" s="93"/>
      <c r="L2" s="93" t="s">
        <v>3</v>
      </c>
      <c r="M2" s="93"/>
      <c r="N2" s="93"/>
      <c r="O2" s="93"/>
      <c r="Q2" s="93" t="s">
        <v>4</v>
      </c>
      <c r="R2" s="93"/>
      <c r="S2" s="93"/>
      <c r="T2" s="93"/>
      <c r="V2" s="93" t="s">
        <v>5</v>
      </c>
      <c r="W2" s="93"/>
      <c r="X2" s="93"/>
      <c r="Y2" s="93"/>
      <c r="AA2" s="93" t="s">
        <v>6</v>
      </c>
      <c r="AB2" s="93"/>
      <c r="AC2" s="93"/>
      <c r="AD2" s="93"/>
      <c r="AF2" s="93" t="s">
        <v>7</v>
      </c>
      <c r="AG2" s="93"/>
      <c r="AH2" s="93"/>
      <c r="AI2" s="95"/>
      <c r="AJ2" s="83"/>
      <c r="AK2" s="92" t="s">
        <v>8</v>
      </c>
      <c r="AL2" s="93"/>
      <c r="AM2" s="93"/>
      <c r="AN2" s="93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</row>
    <row r="3" spans="1:62" s="1" customFormat="1" ht="16.5" customHeight="1" x14ac:dyDescent="0.35">
      <c r="A3" s="6"/>
      <c r="B3" s="90" t="s">
        <v>9</v>
      </c>
      <c r="C3" s="91"/>
      <c r="D3" s="91"/>
      <c r="E3" s="13"/>
      <c r="G3" s="91" t="s">
        <v>9</v>
      </c>
      <c r="H3" s="91"/>
      <c r="I3" s="91"/>
      <c r="J3" s="13"/>
      <c r="L3" s="91" t="s">
        <v>9</v>
      </c>
      <c r="M3" s="91"/>
      <c r="N3" s="91"/>
      <c r="O3" s="13"/>
      <c r="Q3" s="91" t="s">
        <v>9</v>
      </c>
      <c r="R3" s="91"/>
      <c r="S3" s="91"/>
      <c r="T3" s="13"/>
      <c r="V3" s="91" t="s">
        <v>9</v>
      </c>
      <c r="W3" s="91"/>
      <c r="X3" s="91"/>
      <c r="Y3" s="13"/>
      <c r="AA3" s="91" t="s">
        <v>9</v>
      </c>
      <c r="AB3" s="91"/>
      <c r="AC3" s="91"/>
      <c r="AD3" s="13"/>
      <c r="AF3" s="91" t="s">
        <v>9</v>
      </c>
      <c r="AG3" s="91"/>
      <c r="AH3" s="91"/>
      <c r="AI3" s="55"/>
      <c r="AJ3" s="84"/>
      <c r="AK3" s="90" t="s">
        <v>9</v>
      </c>
      <c r="AL3" s="91"/>
      <c r="AM3" s="91"/>
      <c r="AN3" s="13"/>
    </row>
    <row r="4" spans="1:62" s="7" customFormat="1" ht="16.5" customHeight="1" x14ac:dyDescent="0.35">
      <c r="A4" s="58"/>
      <c r="B4" s="23" t="s">
        <v>10</v>
      </c>
      <c r="C4" s="42" t="s">
        <v>11</v>
      </c>
      <c r="D4" s="36" t="s">
        <v>12</v>
      </c>
      <c r="E4" s="42" t="s">
        <v>13</v>
      </c>
      <c r="G4" s="42" t="s">
        <v>10</v>
      </c>
      <c r="H4" s="42" t="s">
        <v>11</v>
      </c>
      <c r="I4" s="36" t="s">
        <v>12</v>
      </c>
      <c r="J4" s="42" t="s">
        <v>13</v>
      </c>
      <c r="L4" s="42" t="s">
        <v>10</v>
      </c>
      <c r="M4" s="42" t="s">
        <v>11</v>
      </c>
      <c r="N4" s="36" t="s">
        <v>12</v>
      </c>
      <c r="O4" s="42" t="s">
        <v>13</v>
      </c>
      <c r="Q4" s="42" t="s">
        <v>10</v>
      </c>
      <c r="R4" s="42" t="s">
        <v>11</v>
      </c>
      <c r="S4" s="36" t="s">
        <v>12</v>
      </c>
      <c r="T4" s="42" t="s">
        <v>13</v>
      </c>
      <c r="V4" s="42" t="s">
        <v>10</v>
      </c>
      <c r="W4" s="42" t="s">
        <v>11</v>
      </c>
      <c r="X4" s="36" t="s">
        <v>12</v>
      </c>
      <c r="Y4" s="42" t="s">
        <v>13</v>
      </c>
      <c r="AA4" s="42" t="s">
        <v>10</v>
      </c>
      <c r="AB4" s="42" t="s">
        <v>11</v>
      </c>
      <c r="AC4" s="36" t="s">
        <v>12</v>
      </c>
      <c r="AD4" s="42" t="s">
        <v>13</v>
      </c>
      <c r="AF4" s="42" t="s">
        <v>10</v>
      </c>
      <c r="AG4" s="42" t="s">
        <v>11</v>
      </c>
      <c r="AH4" s="36" t="s">
        <v>12</v>
      </c>
      <c r="AI4" s="56" t="s">
        <v>13</v>
      </c>
      <c r="AJ4" s="85"/>
      <c r="AK4" s="23" t="s">
        <v>10</v>
      </c>
      <c r="AL4" s="42" t="s">
        <v>11</v>
      </c>
      <c r="AM4" s="36" t="s">
        <v>12</v>
      </c>
      <c r="AN4" s="42" t="s">
        <v>13</v>
      </c>
    </row>
    <row r="5" spans="1:62" ht="16.5" customHeight="1" x14ac:dyDescent="0.35">
      <c r="A5" s="59"/>
      <c r="B5" s="34">
        <v>32</v>
      </c>
      <c r="C5" s="44">
        <v>32</v>
      </c>
      <c r="D5" s="45">
        <v>256</v>
      </c>
      <c r="E5" s="16">
        <v>99.38</v>
      </c>
      <c r="G5" s="34">
        <v>32</v>
      </c>
      <c r="H5" s="44">
        <v>32</v>
      </c>
      <c r="I5" s="45">
        <v>512</v>
      </c>
      <c r="J5" s="16">
        <v>67.02</v>
      </c>
      <c r="L5" s="34">
        <v>32</v>
      </c>
      <c r="M5" s="44">
        <v>32</v>
      </c>
      <c r="N5" s="44">
        <f t="shared" ref="N5:N36" si="0">D5*3</f>
        <v>768</v>
      </c>
      <c r="O5" s="16">
        <v>88.48</v>
      </c>
      <c r="Q5" s="34">
        <v>32</v>
      </c>
      <c r="R5" s="44">
        <v>32</v>
      </c>
      <c r="S5" s="45">
        <f t="shared" ref="S5:S36" si="1">D5*4</f>
        <v>1024</v>
      </c>
      <c r="T5" s="16">
        <v>36.25</v>
      </c>
      <c r="V5" s="34">
        <v>32</v>
      </c>
      <c r="W5" s="44">
        <v>32</v>
      </c>
      <c r="X5" s="45">
        <f t="shared" ref="X5:X36" si="2">D5*5</f>
        <v>1280</v>
      </c>
      <c r="Y5" s="16">
        <v>83</v>
      </c>
      <c r="AA5" s="34">
        <v>32</v>
      </c>
      <c r="AB5" s="44">
        <v>32</v>
      </c>
      <c r="AC5" s="45">
        <f t="shared" ref="AC5:AC36" si="3">D5*6</f>
        <v>1536</v>
      </c>
      <c r="AD5" s="16">
        <v>63.26</v>
      </c>
      <c r="AF5" s="34">
        <v>32</v>
      </c>
      <c r="AG5" s="44">
        <v>32</v>
      </c>
      <c r="AH5" s="44">
        <v>1792</v>
      </c>
      <c r="AI5" s="62">
        <v>81.39</v>
      </c>
      <c r="AJ5" s="86"/>
      <c r="AK5" s="77">
        <v>32</v>
      </c>
      <c r="AL5" s="44">
        <v>32</v>
      </c>
      <c r="AM5" s="44">
        <v>2048</v>
      </c>
      <c r="AN5" s="16">
        <v>24.88</v>
      </c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2" ht="16.5" customHeight="1" x14ac:dyDescent="0.35">
      <c r="A6" s="59"/>
      <c r="B6" s="35">
        <v>64</v>
      </c>
      <c r="C6" s="11">
        <v>32</v>
      </c>
      <c r="D6" s="8">
        <v>256</v>
      </c>
      <c r="E6" s="17">
        <v>130.25</v>
      </c>
      <c r="G6" s="35">
        <v>64</v>
      </c>
      <c r="H6" s="11">
        <v>32</v>
      </c>
      <c r="I6" s="8">
        <v>512</v>
      </c>
      <c r="J6" s="17">
        <v>68.37</v>
      </c>
      <c r="L6" s="35">
        <v>64</v>
      </c>
      <c r="M6" s="11">
        <v>32</v>
      </c>
      <c r="N6" s="11">
        <f t="shared" si="0"/>
        <v>768</v>
      </c>
      <c r="O6" s="17">
        <v>121.85</v>
      </c>
      <c r="Q6" s="35">
        <v>64</v>
      </c>
      <c r="R6" s="11">
        <v>32</v>
      </c>
      <c r="S6" s="8">
        <f t="shared" si="1"/>
        <v>1024</v>
      </c>
      <c r="T6" s="17">
        <v>35.130000000000003</v>
      </c>
      <c r="V6" s="35">
        <v>64</v>
      </c>
      <c r="W6" s="11">
        <v>32</v>
      </c>
      <c r="X6" s="8">
        <f t="shared" si="2"/>
        <v>1280</v>
      </c>
      <c r="Y6" s="17">
        <v>109.83</v>
      </c>
      <c r="AA6" s="35">
        <v>64</v>
      </c>
      <c r="AB6" s="11">
        <v>32</v>
      </c>
      <c r="AC6" s="8">
        <f t="shared" si="3"/>
        <v>1536</v>
      </c>
      <c r="AD6" s="17">
        <v>67.33</v>
      </c>
      <c r="AF6" s="35">
        <v>64</v>
      </c>
      <c r="AG6" s="11">
        <v>32</v>
      </c>
      <c r="AH6" s="11">
        <v>1792</v>
      </c>
      <c r="AI6" s="64">
        <v>102.37</v>
      </c>
      <c r="AJ6" s="86"/>
      <c r="AK6" s="78">
        <v>64</v>
      </c>
      <c r="AL6" s="11">
        <v>32</v>
      </c>
      <c r="AM6" s="11">
        <v>2048</v>
      </c>
      <c r="AN6" s="17">
        <v>28.15</v>
      </c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spans="1:62" ht="16.5" customHeight="1" x14ac:dyDescent="0.35">
      <c r="A7" s="59"/>
      <c r="B7" s="35">
        <v>96</v>
      </c>
      <c r="C7" s="11">
        <v>32</v>
      </c>
      <c r="D7" s="8">
        <v>256</v>
      </c>
      <c r="E7" s="17">
        <v>134.53</v>
      </c>
      <c r="G7" s="35">
        <v>96</v>
      </c>
      <c r="H7" s="11">
        <v>32</v>
      </c>
      <c r="I7" s="8">
        <v>512</v>
      </c>
      <c r="J7" s="17">
        <v>70.37</v>
      </c>
      <c r="L7" s="35">
        <v>96</v>
      </c>
      <c r="M7" s="11">
        <v>32</v>
      </c>
      <c r="N7" s="11">
        <f t="shared" si="0"/>
        <v>768</v>
      </c>
      <c r="O7" s="17">
        <v>134</v>
      </c>
      <c r="Q7" s="35">
        <v>96</v>
      </c>
      <c r="R7" s="11">
        <v>32</v>
      </c>
      <c r="S7" s="8">
        <f t="shared" si="1"/>
        <v>1024</v>
      </c>
      <c r="T7" s="17">
        <v>38.229999999999997</v>
      </c>
      <c r="V7" s="35">
        <v>96</v>
      </c>
      <c r="W7" s="11">
        <v>32</v>
      </c>
      <c r="X7" s="8">
        <f t="shared" si="2"/>
        <v>1280</v>
      </c>
      <c r="Y7" s="17">
        <v>122.64</v>
      </c>
      <c r="AA7" s="35">
        <v>96</v>
      </c>
      <c r="AB7" s="11">
        <v>32</v>
      </c>
      <c r="AC7" s="8">
        <f t="shared" si="3"/>
        <v>1536</v>
      </c>
      <c r="AD7" s="17">
        <v>67.290000000000006</v>
      </c>
      <c r="AF7" s="35">
        <v>96</v>
      </c>
      <c r="AG7" s="11">
        <v>32</v>
      </c>
      <c r="AH7" s="11">
        <v>1792</v>
      </c>
      <c r="AI7" s="64">
        <v>119.5</v>
      </c>
      <c r="AJ7" s="86"/>
      <c r="AK7" s="78">
        <v>96</v>
      </c>
      <c r="AL7" s="11">
        <v>32</v>
      </c>
      <c r="AM7" s="11">
        <v>2048</v>
      </c>
      <c r="AN7" s="17">
        <v>27.24</v>
      </c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2" ht="16.5" customHeight="1" x14ac:dyDescent="0.35">
      <c r="A8" s="59"/>
      <c r="B8" s="35">
        <v>128</v>
      </c>
      <c r="C8" s="11">
        <v>32</v>
      </c>
      <c r="D8" s="8">
        <v>256</v>
      </c>
      <c r="E8" s="17">
        <v>137.34</v>
      </c>
      <c r="G8" s="35">
        <v>128</v>
      </c>
      <c r="H8" s="11">
        <v>32</v>
      </c>
      <c r="I8" s="8">
        <v>512</v>
      </c>
      <c r="J8" s="17">
        <v>71.98</v>
      </c>
      <c r="L8" s="35">
        <v>128</v>
      </c>
      <c r="M8" s="11">
        <v>32</v>
      </c>
      <c r="N8" s="11">
        <f t="shared" si="0"/>
        <v>768</v>
      </c>
      <c r="O8" s="17">
        <v>133.30000000000001</v>
      </c>
      <c r="Q8" s="35">
        <v>128</v>
      </c>
      <c r="R8" s="11">
        <v>32</v>
      </c>
      <c r="S8" s="8">
        <f t="shared" si="1"/>
        <v>1024</v>
      </c>
      <c r="T8" s="17">
        <v>38.94</v>
      </c>
      <c r="V8" s="35">
        <v>128</v>
      </c>
      <c r="W8" s="11">
        <v>32</v>
      </c>
      <c r="X8" s="8">
        <f t="shared" si="2"/>
        <v>1280</v>
      </c>
      <c r="Y8" s="17">
        <v>131.06</v>
      </c>
      <c r="AA8" s="35">
        <v>128</v>
      </c>
      <c r="AB8" s="11">
        <v>32</v>
      </c>
      <c r="AC8" s="8">
        <f t="shared" si="3"/>
        <v>1536</v>
      </c>
      <c r="AD8" s="17">
        <v>67.78</v>
      </c>
      <c r="AF8" s="35">
        <v>128</v>
      </c>
      <c r="AG8" s="11">
        <v>32</v>
      </c>
      <c r="AH8" s="11">
        <v>1792</v>
      </c>
      <c r="AI8" s="64">
        <v>117.41</v>
      </c>
      <c r="AJ8" s="86"/>
      <c r="AK8" s="78">
        <v>128</v>
      </c>
      <c r="AL8" s="11">
        <v>32</v>
      </c>
      <c r="AM8" s="11">
        <v>2048</v>
      </c>
      <c r="AN8" s="17">
        <v>27.55</v>
      </c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spans="1:62" ht="16.5" customHeight="1" x14ac:dyDescent="0.35">
      <c r="A9" s="59"/>
      <c r="B9" s="35">
        <v>160</v>
      </c>
      <c r="C9" s="11">
        <v>32</v>
      </c>
      <c r="D9" s="11">
        <f t="shared" ref="D9:D19" si="4">C9*8</f>
        <v>256</v>
      </c>
      <c r="E9" s="17">
        <v>134.49</v>
      </c>
      <c r="G9" s="35">
        <v>160</v>
      </c>
      <c r="H9" s="11">
        <v>32</v>
      </c>
      <c r="I9" s="8">
        <v>512</v>
      </c>
      <c r="J9" s="17">
        <v>73.36</v>
      </c>
      <c r="L9" s="35">
        <v>160</v>
      </c>
      <c r="M9" s="11">
        <v>32</v>
      </c>
      <c r="N9" s="11">
        <f t="shared" si="0"/>
        <v>768</v>
      </c>
      <c r="O9" s="17">
        <v>125.62</v>
      </c>
      <c r="Q9" s="35">
        <v>160</v>
      </c>
      <c r="R9" s="11">
        <v>32</v>
      </c>
      <c r="S9" s="11">
        <f t="shared" si="1"/>
        <v>1024</v>
      </c>
      <c r="T9" s="17"/>
      <c r="V9" s="35">
        <v>160</v>
      </c>
      <c r="W9" s="11">
        <v>32</v>
      </c>
      <c r="X9" s="11">
        <f t="shared" si="2"/>
        <v>1280</v>
      </c>
      <c r="Y9" s="17"/>
      <c r="AA9" s="35">
        <v>160</v>
      </c>
      <c r="AB9" s="11">
        <v>32</v>
      </c>
      <c r="AC9" s="11">
        <f t="shared" si="3"/>
        <v>1536</v>
      </c>
      <c r="AD9" s="17"/>
      <c r="AF9" s="35">
        <v>160</v>
      </c>
      <c r="AG9" s="11">
        <v>32</v>
      </c>
      <c r="AH9" s="11">
        <v>1792</v>
      </c>
      <c r="AI9" s="64"/>
      <c r="AJ9" s="86"/>
      <c r="AK9" s="35">
        <v>160</v>
      </c>
      <c r="AL9" s="11">
        <v>32</v>
      </c>
      <c r="AM9" s="11">
        <v>2048</v>
      </c>
      <c r="AN9" s="17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 spans="1:62" ht="16.5" customHeight="1" x14ac:dyDescent="0.35">
      <c r="A10" s="59"/>
      <c r="B10" s="35">
        <v>192</v>
      </c>
      <c r="C10" s="11">
        <v>32</v>
      </c>
      <c r="D10" s="11">
        <f t="shared" si="4"/>
        <v>256</v>
      </c>
      <c r="E10" s="17">
        <v>135.02000000000001</v>
      </c>
      <c r="G10" s="35">
        <v>192</v>
      </c>
      <c r="H10" s="11">
        <v>32</v>
      </c>
      <c r="I10" s="8">
        <v>512</v>
      </c>
      <c r="J10" s="17">
        <v>73.66</v>
      </c>
      <c r="L10" s="35">
        <v>192</v>
      </c>
      <c r="M10" s="11">
        <v>32</v>
      </c>
      <c r="N10" s="11">
        <f t="shared" si="0"/>
        <v>768</v>
      </c>
      <c r="O10" s="17">
        <v>123.2</v>
      </c>
      <c r="Q10" s="35">
        <v>192</v>
      </c>
      <c r="R10" s="11">
        <v>32</v>
      </c>
      <c r="S10" s="11">
        <f t="shared" si="1"/>
        <v>1024</v>
      </c>
      <c r="T10" s="17"/>
      <c r="V10" s="35">
        <v>192</v>
      </c>
      <c r="W10" s="11">
        <v>32</v>
      </c>
      <c r="X10" s="11">
        <f t="shared" si="2"/>
        <v>1280</v>
      </c>
      <c r="Y10" s="17"/>
      <c r="AA10" s="35">
        <v>192</v>
      </c>
      <c r="AB10" s="11">
        <v>32</v>
      </c>
      <c r="AC10" s="11">
        <f t="shared" si="3"/>
        <v>1536</v>
      </c>
      <c r="AD10" s="17"/>
      <c r="AF10" s="35">
        <v>192</v>
      </c>
      <c r="AG10" s="11">
        <v>32</v>
      </c>
      <c r="AH10" s="11">
        <v>1792</v>
      </c>
      <c r="AI10" s="64"/>
      <c r="AJ10" s="86"/>
      <c r="AK10" s="35">
        <v>192</v>
      </c>
      <c r="AL10" s="11">
        <v>32</v>
      </c>
      <c r="AM10" s="11">
        <v>2048</v>
      </c>
      <c r="AN10" s="17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 spans="1:62" ht="16.5" customHeight="1" x14ac:dyDescent="0.35">
      <c r="A11" s="59"/>
      <c r="B11" s="35">
        <v>224</v>
      </c>
      <c r="C11" s="11">
        <v>32</v>
      </c>
      <c r="D11" s="11">
        <f t="shared" si="4"/>
        <v>256</v>
      </c>
      <c r="E11" s="17">
        <v>135.61000000000001</v>
      </c>
      <c r="G11" s="35">
        <v>224</v>
      </c>
      <c r="H11" s="11">
        <v>32</v>
      </c>
      <c r="I11" s="8">
        <v>512</v>
      </c>
      <c r="J11" s="17">
        <v>73.92</v>
      </c>
      <c r="L11" s="35">
        <v>224</v>
      </c>
      <c r="M11" s="11">
        <v>32</v>
      </c>
      <c r="N11" s="11">
        <f t="shared" si="0"/>
        <v>768</v>
      </c>
      <c r="O11" s="17">
        <v>124.19</v>
      </c>
      <c r="Q11" s="35">
        <v>224</v>
      </c>
      <c r="R11" s="11">
        <v>32</v>
      </c>
      <c r="S11" s="11">
        <f t="shared" si="1"/>
        <v>1024</v>
      </c>
      <c r="T11" s="17"/>
      <c r="V11" s="35">
        <v>224</v>
      </c>
      <c r="W11" s="11">
        <v>32</v>
      </c>
      <c r="X11" s="11">
        <f t="shared" si="2"/>
        <v>1280</v>
      </c>
      <c r="Y11" s="17"/>
      <c r="AA11" s="35">
        <v>224</v>
      </c>
      <c r="AB11" s="11">
        <v>32</v>
      </c>
      <c r="AC11" s="11">
        <f t="shared" si="3"/>
        <v>1536</v>
      </c>
      <c r="AD11" s="17"/>
      <c r="AF11" s="35">
        <v>224</v>
      </c>
      <c r="AG11" s="11">
        <v>32</v>
      </c>
      <c r="AH11" s="11">
        <v>1792</v>
      </c>
      <c r="AI11" s="64"/>
      <c r="AJ11" s="86"/>
      <c r="AK11" s="35">
        <v>224</v>
      </c>
      <c r="AL11" s="11">
        <v>32</v>
      </c>
      <c r="AM11" s="11">
        <v>2048</v>
      </c>
      <c r="AN11" s="17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2" ht="16.5" customHeight="1" x14ac:dyDescent="0.35">
      <c r="A12" s="59"/>
      <c r="B12" s="35">
        <v>256</v>
      </c>
      <c r="C12" s="11">
        <v>32</v>
      </c>
      <c r="D12" s="11">
        <f t="shared" si="4"/>
        <v>256</v>
      </c>
      <c r="E12" s="17">
        <v>138.32</v>
      </c>
      <c r="G12" s="35">
        <v>256</v>
      </c>
      <c r="H12" s="11">
        <v>32</v>
      </c>
      <c r="I12" s="8">
        <v>512</v>
      </c>
      <c r="J12" s="17">
        <v>74.37</v>
      </c>
      <c r="L12" s="35">
        <v>256</v>
      </c>
      <c r="M12" s="11">
        <v>32</v>
      </c>
      <c r="N12" s="11">
        <f t="shared" si="0"/>
        <v>768</v>
      </c>
      <c r="O12" s="17">
        <v>136.52000000000001</v>
      </c>
      <c r="Q12" s="35">
        <v>256</v>
      </c>
      <c r="R12" s="11">
        <v>32</v>
      </c>
      <c r="S12" s="11">
        <f t="shared" si="1"/>
        <v>1024</v>
      </c>
      <c r="T12" s="17">
        <v>40.21</v>
      </c>
      <c r="V12" s="35">
        <v>256</v>
      </c>
      <c r="W12" s="11">
        <v>32</v>
      </c>
      <c r="X12" s="11">
        <f t="shared" si="2"/>
        <v>1280</v>
      </c>
      <c r="Y12" s="17">
        <v>123.75</v>
      </c>
      <c r="AA12" s="35">
        <v>256</v>
      </c>
      <c r="AB12" s="11">
        <v>32</v>
      </c>
      <c r="AC12" s="11">
        <f t="shared" si="3"/>
        <v>1536</v>
      </c>
      <c r="AD12" s="17">
        <v>68.09</v>
      </c>
      <c r="AF12" s="35">
        <v>256</v>
      </c>
      <c r="AG12" s="11">
        <v>32</v>
      </c>
      <c r="AH12" s="11">
        <v>1792</v>
      </c>
      <c r="AI12" s="64">
        <v>119.7</v>
      </c>
      <c r="AJ12" s="86"/>
      <c r="AK12" s="35">
        <v>256</v>
      </c>
      <c r="AL12" s="11">
        <v>32</v>
      </c>
      <c r="AM12" s="11">
        <v>2048</v>
      </c>
      <c r="AN12" s="17">
        <v>27.62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spans="1:62" ht="16.5" customHeight="1" x14ac:dyDescent="0.35">
      <c r="A13" s="60"/>
      <c r="B13" s="35">
        <v>288</v>
      </c>
      <c r="C13" s="11">
        <v>32</v>
      </c>
      <c r="D13" s="11">
        <f t="shared" si="4"/>
        <v>256</v>
      </c>
      <c r="E13" s="17">
        <v>140.24</v>
      </c>
      <c r="G13" s="35">
        <v>288</v>
      </c>
      <c r="H13" s="11">
        <v>32</v>
      </c>
      <c r="I13" s="8">
        <v>512</v>
      </c>
      <c r="J13" s="17">
        <v>73.44</v>
      </c>
      <c r="L13" s="35">
        <v>288</v>
      </c>
      <c r="M13" s="11">
        <v>32</v>
      </c>
      <c r="N13" s="11">
        <f t="shared" si="0"/>
        <v>768</v>
      </c>
      <c r="O13" s="17">
        <v>128.4</v>
      </c>
      <c r="Q13" s="35">
        <v>288</v>
      </c>
      <c r="R13" s="11">
        <v>32</v>
      </c>
      <c r="S13" s="11">
        <f t="shared" si="1"/>
        <v>1024</v>
      </c>
      <c r="T13" s="17"/>
      <c r="V13" s="35">
        <v>288</v>
      </c>
      <c r="W13" s="11">
        <v>32</v>
      </c>
      <c r="X13" s="11">
        <f t="shared" si="2"/>
        <v>1280</v>
      </c>
      <c r="Y13" s="17"/>
      <c r="AA13" s="35">
        <v>288</v>
      </c>
      <c r="AB13" s="11">
        <v>32</v>
      </c>
      <c r="AC13" s="11">
        <f t="shared" si="3"/>
        <v>1536</v>
      </c>
      <c r="AD13" s="17"/>
      <c r="AF13" s="35">
        <v>288</v>
      </c>
      <c r="AG13" s="11">
        <v>32</v>
      </c>
      <c r="AH13" s="11">
        <v>1792</v>
      </c>
      <c r="AI13" s="64"/>
      <c r="AJ13" s="86"/>
      <c r="AK13" s="35">
        <v>288</v>
      </c>
      <c r="AL13" s="11">
        <v>32</v>
      </c>
      <c r="AM13" s="11">
        <v>2048</v>
      </c>
      <c r="AN13" s="17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2" ht="16.5" customHeight="1" x14ac:dyDescent="0.35">
      <c r="A14" s="60"/>
      <c r="B14" s="35">
        <v>320</v>
      </c>
      <c r="C14" s="11">
        <v>32</v>
      </c>
      <c r="D14" s="11">
        <f t="shared" si="4"/>
        <v>256</v>
      </c>
      <c r="E14" s="17">
        <v>138.07</v>
      </c>
      <c r="G14" s="35">
        <v>320</v>
      </c>
      <c r="H14" s="11">
        <v>32</v>
      </c>
      <c r="I14" s="8">
        <v>512</v>
      </c>
      <c r="J14" s="17">
        <v>73.77</v>
      </c>
      <c r="L14" s="35">
        <v>320</v>
      </c>
      <c r="M14" s="11">
        <v>32</v>
      </c>
      <c r="N14" s="11">
        <f t="shared" si="0"/>
        <v>768</v>
      </c>
      <c r="O14" s="17">
        <v>128.08000000000001</v>
      </c>
      <c r="Q14" s="35">
        <v>320</v>
      </c>
      <c r="R14" s="11">
        <v>32</v>
      </c>
      <c r="S14" s="11">
        <f t="shared" si="1"/>
        <v>1024</v>
      </c>
      <c r="T14" s="17"/>
      <c r="V14" s="35">
        <v>320</v>
      </c>
      <c r="W14" s="11">
        <v>32</v>
      </c>
      <c r="X14" s="11">
        <f t="shared" si="2"/>
        <v>1280</v>
      </c>
      <c r="Y14" s="17"/>
      <c r="AA14" s="35">
        <v>320</v>
      </c>
      <c r="AB14" s="11">
        <v>32</v>
      </c>
      <c r="AC14" s="11">
        <f t="shared" si="3"/>
        <v>1536</v>
      </c>
      <c r="AD14" s="17"/>
      <c r="AF14" s="35">
        <v>320</v>
      </c>
      <c r="AG14" s="11">
        <v>32</v>
      </c>
      <c r="AH14" s="11">
        <v>1792</v>
      </c>
      <c r="AI14" s="64"/>
      <c r="AJ14" s="86"/>
      <c r="AK14" s="35">
        <v>320</v>
      </c>
      <c r="AL14" s="11">
        <v>32</v>
      </c>
      <c r="AM14" s="11">
        <v>2048</v>
      </c>
      <c r="AN14" s="17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spans="1:62" ht="16.5" customHeight="1" x14ac:dyDescent="0.35">
      <c r="A15" s="60"/>
      <c r="B15" s="35">
        <v>352</v>
      </c>
      <c r="C15" s="11">
        <v>32</v>
      </c>
      <c r="D15" s="11">
        <f t="shared" si="4"/>
        <v>256</v>
      </c>
      <c r="E15" s="17">
        <v>138.30000000000001</v>
      </c>
      <c r="G15" s="35">
        <v>352</v>
      </c>
      <c r="H15" s="11">
        <v>32</v>
      </c>
      <c r="I15" s="8">
        <v>512</v>
      </c>
      <c r="J15" s="17">
        <v>73.66</v>
      </c>
      <c r="L15" s="35">
        <v>352</v>
      </c>
      <c r="M15" s="11">
        <v>32</v>
      </c>
      <c r="N15" s="11">
        <f t="shared" si="0"/>
        <v>768</v>
      </c>
      <c r="O15" s="17">
        <v>127.3</v>
      </c>
      <c r="Q15" s="35">
        <v>352</v>
      </c>
      <c r="R15" s="11">
        <v>32</v>
      </c>
      <c r="S15" s="11">
        <f t="shared" si="1"/>
        <v>1024</v>
      </c>
      <c r="T15" s="17"/>
      <c r="V15" s="35">
        <v>352</v>
      </c>
      <c r="W15" s="11">
        <v>32</v>
      </c>
      <c r="X15" s="11">
        <f t="shared" si="2"/>
        <v>1280</v>
      </c>
      <c r="Y15" s="17"/>
      <c r="AA15" s="35">
        <v>352</v>
      </c>
      <c r="AB15" s="11">
        <v>32</v>
      </c>
      <c r="AC15" s="11">
        <f t="shared" si="3"/>
        <v>1536</v>
      </c>
      <c r="AD15" s="17"/>
      <c r="AF15" s="35">
        <v>352</v>
      </c>
      <c r="AG15" s="11">
        <v>32</v>
      </c>
      <c r="AH15" s="11">
        <v>1792</v>
      </c>
      <c r="AI15" s="64"/>
      <c r="AJ15" s="86"/>
      <c r="AK15" s="35">
        <v>352</v>
      </c>
      <c r="AL15" s="11">
        <v>32</v>
      </c>
      <c r="AM15" s="11">
        <v>2048</v>
      </c>
      <c r="AN15" s="17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spans="1:62" ht="16.5" customHeight="1" x14ac:dyDescent="0.35">
      <c r="A16" s="60"/>
      <c r="B16" s="35">
        <v>384</v>
      </c>
      <c r="C16" s="11">
        <v>32</v>
      </c>
      <c r="D16" s="11">
        <f t="shared" si="4"/>
        <v>256</v>
      </c>
      <c r="E16" s="17">
        <v>139.22</v>
      </c>
      <c r="G16" s="35">
        <v>384</v>
      </c>
      <c r="H16" s="11">
        <v>32</v>
      </c>
      <c r="I16" s="8">
        <v>512</v>
      </c>
      <c r="J16" s="17">
        <v>74.19</v>
      </c>
      <c r="L16" s="35">
        <v>384</v>
      </c>
      <c r="M16" s="11">
        <v>32</v>
      </c>
      <c r="N16" s="11">
        <f t="shared" si="0"/>
        <v>768</v>
      </c>
      <c r="O16" s="17">
        <v>127.88</v>
      </c>
      <c r="Q16" s="35">
        <v>384</v>
      </c>
      <c r="R16" s="11">
        <v>32</v>
      </c>
      <c r="S16" s="11">
        <f t="shared" si="1"/>
        <v>1024</v>
      </c>
      <c r="T16" s="17"/>
      <c r="V16" s="35">
        <v>384</v>
      </c>
      <c r="W16" s="11">
        <v>32</v>
      </c>
      <c r="X16" s="11">
        <f t="shared" si="2"/>
        <v>1280</v>
      </c>
      <c r="Y16" s="17"/>
      <c r="AA16" s="35">
        <v>384</v>
      </c>
      <c r="AB16" s="11">
        <v>32</v>
      </c>
      <c r="AC16" s="11">
        <f t="shared" si="3"/>
        <v>1536</v>
      </c>
      <c r="AD16" s="17"/>
      <c r="AF16" s="35">
        <v>384</v>
      </c>
      <c r="AG16" s="11">
        <v>32</v>
      </c>
      <c r="AH16" s="11">
        <v>1792</v>
      </c>
      <c r="AI16" s="64"/>
      <c r="AJ16" s="86"/>
      <c r="AK16" s="35">
        <v>384</v>
      </c>
      <c r="AL16" s="11">
        <v>32</v>
      </c>
      <c r="AM16" s="11">
        <v>2048</v>
      </c>
      <c r="AN16" s="17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spans="1:62" ht="16.5" customHeight="1" x14ac:dyDescent="0.35">
      <c r="A17" s="60"/>
      <c r="B17" s="35">
        <v>416</v>
      </c>
      <c r="C17" s="11">
        <v>32</v>
      </c>
      <c r="D17" s="11">
        <f t="shared" si="4"/>
        <v>256</v>
      </c>
      <c r="E17" s="17">
        <v>135.05000000000001</v>
      </c>
      <c r="G17" s="35">
        <v>416</v>
      </c>
      <c r="H17" s="11">
        <v>32</v>
      </c>
      <c r="I17" s="8">
        <v>512</v>
      </c>
      <c r="J17" s="17">
        <v>70.11</v>
      </c>
      <c r="L17" s="35">
        <v>416</v>
      </c>
      <c r="M17" s="11">
        <v>32</v>
      </c>
      <c r="N17" s="11">
        <f t="shared" si="0"/>
        <v>768</v>
      </c>
      <c r="O17" s="17">
        <v>128.29</v>
      </c>
      <c r="Q17" s="35">
        <v>416</v>
      </c>
      <c r="R17" s="11">
        <v>32</v>
      </c>
      <c r="S17" s="11">
        <f t="shared" si="1"/>
        <v>1024</v>
      </c>
      <c r="T17" s="17"/>
      <c r="V17" s="35">
        <v>416</v>
      </c>
      <c r="W17" s="11">
        <v>32</v>
      </c>
      <c r="X17" s="11">
        <f t="shared" si="2"/>
        <v>1280</v>
      </c>
      <c r="Y17" s="17"/>
      <c r="AA17" s="35">
        <v>416</v>
      </c>
      <c r="AB17" s="11">
        <v>32</v>
      </c>
      <c r="AC17" s="11">
        <f t="shared" si="3"/>
        <v>1536</v>
      </c>
      <c r="AD17" s="17"/>
      <c r="AF17" s="35">
        <v>416</v>
      </c>
      <c r="AG17" s="11">
        <v>32</v>
      </c>
      <c r="AH17" s="11">
        <v>1792</v>
      </c>
      <c r="AI17" s="64"/>
      <c r="AJ17" s="86"/>
      <c r="AK17" s="35">
        <v>416</v>
      </c>
      <c r="AL17" s="11">
        <v>32</v>
      </c>
      <c r="AM17" s="11">
        <v>2048</v>
      </c>
      <c r="AN17" s="17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spans="1:62" ht="16.5" customHeight="1" x14ac:dyDescent="0.35">
      <c r="A18" s="60"/>
      <c r="B18" s="35">
        <v>448</v>
      </c>
      <c r="C18" s="11">
        <v>32</v>
      </c>
      <c r="D18" s="11">
        <f t="shared" si="4"/>
        <v>256</v>
      </c>
      <c r="E18" s="17">
        <v>135.32</v>
      </c>
      <c r="G18" s="35">
        <v>448</v>
      </c>
      <c r="H18" s="11">
        <v>32</v>
      </c>
      <c r="I18" s="8">
        <v>512</v>
      </c>
      <c r="J18" s="17">
        <v>67.209999999999994</v>
      </c>
      <c r="L18" s="35">
        <v>448</v>
      </c>
      <c r="M18" s="11">
        <v>32</v>
      </c>
      <c r="N18" s="11">
        <f t="shared" si="0"/>
        <v>768</v>
      </c>
      <c r="O18" s="17">
        <v>128.31</v>
      </c>
      <c r="Q18" s="35">
        <v>448</v>
      </c>
      <c r="R18" s="11">
        <v>32</v>
      </c>
      <c r="S18" s="11">
        <f t="shared" si="1"/>
        <v>1024</v>
      </c>
      <c r="T18" s="17"/>
      <c r="V18" s="35">
        <v>448</v>
      </c>
      <c r="W18" s="11">
        <v>32</v>
      </c>
      <c r="X18" s="11">
        <f t="shared" si="2"/>
        <v>1280</v>
      </c>
      <c r="Y18" s="17"/>
      <c r="AA18" s="35">
        <v>448</v>
      </c>
      <c r="AB18" s="11">
        <v>32</v>
      </c>
      <c r="AC18" s="11">
        <f t="shared" si="3"/>
        <v>1536</v>
      </c>
      <c r="AD18" s="17"/>
      <c r="AF18" s="35">
        <v>448</v>
      </c>
      <c r="AG18" s="11">
        <v>32</v>
      </c>
      <c r="AH18" s="11">
        <v>1792</v>
      </c>
      <c r="AI18" s="64"/>
      <c r="AJ18" s="86"/>
      <c r="AK18" s="35">
        <v>448</v>
      </c>
      <c r="AL18" s="11">
        <v>32</v>
      </c>
      <c r="AM18" s="11">
        <v>2048</v>
      </c>
      <c r="AN18" s="17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  <row r="19" spans="1:62" ht="16.5" customHeight="1" x14ac:dyDescent="0.35">
      <c r="A19" s="60"/>
      <c r="B19" s="35">
        <v>480</v>
      </c>
      <c r="C19" s="11">
        <v>32</v>
      </c>
      <c r="D19" s="11">
        <f t="shared" si="4"/>
        <v>256</v>
      </c>
      <c r="E19" s="17">
        <v>137.58000000000001</v>
      </c>
      <c r="G19" s="35">
        <v>480</v>
      </c>
      <c r="H19" s="11">
        <v>32</v>
      </c>
      <c r="I19" s="8">
        <v>512</v>
      </c>
      <c r="J19" s="17">
        <v>67.489999999999995</v>
      </c>
      <c r="L19" s="35">
        <v>480</v>
      </c>
      <c r="M19" s="11">
        <v>32</v>
      </c>
      <c r="N19" s="11">
        <f t="shared" si="0"/>
        <v>768</v>
      </c>
      <c r="O19" s="17">
        <v>127.26</v>
      </c>
      <c r="Q19" s="35">
        <v>480</v>
      </c>
      <c r="R19" s="11">
        <v>32</v>
      </c>
      <c r="S19" s="11">
        <f t="shared" si="1"/>
        <v>1024</v>
      </c>
      <c r="T19" s="17"/>
      <c r="V19" s="35">
        <v>480</v>
      </c>
      <c r="W19" s="11">
        <v>32</v>
      </c>
      <c r="X19" s="11">
        <f t="shared" si="2"/>
        <v>1280</v>
      </c>
      <c r="Y19" s="17"/>
      <c r="AA19" s="35">
        <v>480</v>
      </c>
      <c r="AB19" s="11">
        <v>32</v>
      </c>
      <c r="AC19" s="11">
        <f t="shared" si="3"/>
        <v>1536</v>
      </c>
      <c r="AD19" s="17"/>
      <c r="AF19" s="35">
        <v>480</v>
      </c>
      <c r="AG19" s="11">
        <v>32</v>
      </c>
      <c r="AH19" s="11">
        <v>1792</v>
      </c>
      <c r="AI19" s="64"/>
      <c r="AJ19" s="86"/>
      <c r="AK19" s="35">
        <v>480</v>
      </c>
      <c r="AL19" s="11">
        <v>32</v>
      </c>
      <c r="AM19" s="11">
        <v>2048</v>
      </c>
      <c r="AN19" s="17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</row>
    <row r="20" spans="1:62" ht="16.5" customHeight="1" x14ac:dyDescent="0.35">
      <c r="A20" s="60"/>
      <c r="B20" s="35">
        <v>512</v>
      </c>
      <c r="C20" s="11">
        <v>32</v>
      </c>
      <c r="D20" s="8">
        <v>256</v>
      </c>
      <c r="E20" s="17">
        <v>137.09</v>
      </c>
      <c r="G20" s="35">
        <v>512</v>
      </c>
      <c r="H20" s="11">
        <v>32</v>
      </c>
      <c r="I20" s="8">
        <v>512</v>
      </c>
      <c r="J20" s="17">
        <v>75.8</v>
      </c>
      <c r="L20" s="35">
        <v>512</v>
      </c>
      <c r="M20" s="11">
        <v>32</v>
      </c>
      <c r="N20" s="11">
        <f t="shared" si="0"/>
        <v>768</v>
      </c>
      <c r="O20" s="17">
        <v>132.26</v>
      </c>
      <c r="Q20" s="35">
        <v>512</v>
      </c>
      <c r="R20" s="11">
        <v>32</v>
      </c>
      <c r="S20" s="8">
        <f t="shared" si="1"/>
        <v>1024</v>
      </c>
      <c r="T20" s="17">
        <v>40.15</v>
      </c>
      <c r="V20" s="35">
        <v>512</v>
      </c>
      <c r="W20" s="11">
        <v>32</v>
      </c>
      <c r="X20" s="8">
        <f t="shared" si="2"/>
        <v>1280</v>
      </c>
      <c r="Y20" s="17">
        <v>119.55</v>
      </c>
      <c r="AA20" s="35">
        <v>512</v>
      </c>
      <c r="AB20" s="11">
        <v>32</v>
      </c>
      <c r="AC20" s="8">
        <f t="shared" si="3"/>
        <v>1536</v>
      </c>
      <c r="AD20" s="17">
        <v>67.89</v>
      </c>
      <c r="AF20" s="35">
        <v>512</v>
      </c>
      <c r="AG20" s="11">
        <v>32</v>
      </c>
      <c r="AH20" s="11">
        <v>1792</v>
      </c>
      <c r="AI20" s="64">
        <v>119.28</v>
      </c>
      <c r="AJ20" s="86"/>
      <c r="AK20" s="78">
        <v>512</v>
      </c>
      <c r="AL20" s="11">
        <v>32</v>
      </c>
      <c r="AM20" s="11">
        <v>2048</v>
      </c>
      <c r="AN20" s="17">
        <v>27.95</v>
      </c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</row>
    <row r="21" spans="1:62" ht="16.5" customHeight="1" x14ac:dyDescent="0.35">
      <c r="A21" s="61"/>
      <c r="B21" s="2">
        <v>1024</v>
      </c>
      <c r="C21" s="19">
        <v>32</v>
      </c>
      <c r="D21" s="22">
        <v>256</v>
      </c>
      <c r="E21" s="33">
        <v>135.13999999999999</v>
      </c>
      <c r="G21" s="2">
        <v>1024</v>
      </c>
      <c r="H21" s="19">
        <v>32</v>
      </c>
      <c r="I21" s="22">
        <v>512</v>
      </c>
      <c r="J21" s="33">
        <v>75.45</v>
      </c>
      <c r="L21" s="2">
        <v>1024</v>
      </c>
      <c r="M21" s="19">
        <v>32</v>
      </c>
      <c r="N21" s="11">
        <f t="shared" si="0"/>
        <v>768</v>
      </c>
      <c r="O21" s="33">
        <v>128.84</v>
      </c>
      <c r="Q21" s="2">
        <v>1024</v>
      </c>
      <c r="R21" s="19">
        <v>32</v>
      </c>
      <c r="S21" s="8">
        <f t="shared" si="1"/>
        <v>1024</v>
      </c>
      <c r="T21" s="33">
        <v>40.43</v>
      </c>
      <c r="V21" s="2">
        <v>1024</v>
      </c>
      <c r="W21" s="19">
        <v>32</v>
      </c>
      <c r="X21" s="8">
        <f t="shared" si="2"/>
        <v>1280</v>
      </c>
      <c r="Y21" s="33">
        <v>117.48</v>
      </c>
      <c r="AA21" s="2">
        <v>1024</v>
      </c>
      <c r="AB21" s="19">
        <v>32</v>
      </c>
      <c r="AC21" s="8">
        <f t="shared" si="3"/>
        <v>1536</v>
      </c>
      <c r="AD21" s="33">
        <v>68.17</v>
      </c>
      <c r="AF21" s="2">
        <v>1024</v>
      </c>
      <c r="AG21" s="19">
        <v>32</v>
      </c>
      <c r="AH21" s="11">
        <v>1792</v>
      </c>
      <c r="AI21" s="88">
        <v>115.92</v>
      </c>
      <c r="AJ21" s="87"/>
      <c r="AK21" s="89">
        <v>1024</v>
      </c>
      <c r="AL21" s="19">
        <v>32</v>
      </c>
      <c r="AM21" s="11">
        <v>2048</v>
      </c>
      <c r="AN21" s="33">
        <v>27.88</v>
      </c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</row>
    <row r="22" spans="1:62" ht="16.5" customHeight="1" x14ac:dyDescent="0.35">
      <c r="A22" s="1"/>
      <c r="B22" s="34">
        <v>32</v>
      </c>
      <c r="C22" s="44">
        <v>64</v>
      </c>
      <c r="D22" s="45">
        <v>512</v>
      </c>
      <c r="E22" s="16">
        <v>196.43</v>
      </c>
      <c r="G22" s="34">
        <v>32</v>
      </c>
      <c r="H22" s="44">
        <v>64</v>
      </c>
      <c r="I22" s="45">
        <v>1024</v>
      </c>
      <c r="J22" s="16">
        <v>135.21</v>
      </c>
      <c r="L22" s="34">
        <v>32</v>
      </c>
      <c r="M22" s="44">
        <v>64</v>
      </c>
      <c r="N22" s="11">
        <f t="shared" si="0"/>
        <v>1536</v>
      </c>
      <c r="O22" s="16">
        <v>174.29</v>
      </c>
      <c r="Q22" s="34">
        <v>32</v>
      </c>
      <c r="R22" s="44">
        <v>64</v>
      </c>
      <c r="S22" s="8">
        <f t="shared" si="1"/>
        <v>2048</v>
      </c>
      <c r="T22" s="16">
        <v>100.1</v>
      </c>
      <c r="V22" s="34">
        <v>32</v>
      </c>
      <c r="W22" s="44">
        <v>64</v>
      </c>
      <c r="X22" s="8">
        <f t="shared" si="2"/>
        <v>2560</v>
      </c>
      <c r="Y22" s="16">
        <v>168.48</v>
      </c>
      <c r="AA22" s="34">
        <v>32</v>
      </c>
      <c r="AB22" s="44">
        <v>64</v>
      </c>
      <c r="AC22" s="8">
        <f t="shared" si="3"/>
        <v>3072</v>
      </c>
      <c r="AD22" s="16">
        <v>120.96</v>
      </c>
      <c r="AF22" s="34">
        <v>32</v>
      </c>
      <c r="AG22" s="44">
        <v>64</v>
      </c>
      <c r="AH22" s="8">
        <v>3584</v>
      </c>
      <c r="AI22" s="62">
        <v>160.19999999999999</v>
      </c>
      <c r="AJ22" s="86"/>
      <c r="AK22" s="77">
        <v>32</v>
      </c>
      <c r="AL22" s="44">
        <v>64</v>
      </c>
      <c r="AM22" s="8">
        <v>4096</v>
      </c>
      <c r="AN22" s="16">
        <v>122.03</v>
      </c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</row>
    <row r="23" spans="1:62" ht="16.5" customHeight="1" x14ac:dyDescent="0.35">
      <c r="A23" s="1"/>
      <c r="B23" s="35">
        <v>64</v>
      </c>
      <c r="C23" s="11">
        <v>64</v>
      </c>
      <c r="D23" s="8">
        <v>512</v>
      </c>
      <c r="E23" s="17">
        <v>270.77999999999997</v>
      </c>
      <c r="G23" s="35">
        <v>64</v>
      </c>
      <c r="H23" s="11">
        <v>64</v>
      </c>
      <c r="I23" s="8">
        <v>1024</v>
      </c>
      <c r="J23" s="17">
        <v>142.94</v>
      </c>
      <c r="L23" s="35">
        <v>64</v>
      </c>
      <c r="M23" s="11">
        <v>64</v>
      </c>
      <c r="N23" s="11">
        <f t="shared" si="0"/>
        <v>1536</v>
      </c>
      <c r="O23" s="17">
        <v>239.01</v>
      </c>
      <c r="Q23" s="35">
        <v>64</v>
      </c>
      <c r="R23" s="11">
        <v>64</v>
      </c>
      <c r="S23" s="8">
        <f t="shared" si="1"/>
        <v>2048</v>
      </c>
      <c r="T23" s="17">
        <v>134.05000000000001</v>
      </c>
      <c r="V23" s="35">
        <v>64</v>
      </c>
      <c r="W23" s="11">
        <v>64</v>
      </c>
      <c r="X23" s="8">
        <f t="shared" si="2"/>
        <v>2560</v>
      </c>
      <c r="Y23" s="17">
        <v>216.85</v>
      </c>
      <c r="AA23" s="35">
        <v>64</v>
      </c>
      <c r="AB23" s="11">
        <v>64</v>
      </c>
      <c r="AC23" s="8">
        <f t="shared" si="3"/>
        <v>3072</v>
      </c>
      <c r="AD23" s="17">
        <v>134.26</v>
      </c>
      <c r="AF23" s="35">
        <v>64</v>
      </c>
      <c r="AG23" s="11">
        <v>64</v>
      </c>
      <c r="AH23" s="8">
        <v>3584</v>
      </c>
      <c r="AI23" s="64">
        <v>206.09</v>
      </c>
      <c r="AJ23" s="86"/>
      <c r="AK23" s="78">
        <v>64</v>
      </c>
      <c r="AL23" s="11">
        <v>64</v>
      </c>
      <c r="AM23" s="8">
        <v>4096</v>
      </c>
      <c r="AN23" s="17">
        <v>108.98</v>
      </c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</row>
    <row r="24" spans="1:62" ht="16.5" customHeight="1" x14ac:dyDescent="0.35">
      <c r="A24" s="1"/>
      <c r="B24" s="35">
        <v>96</v>
      </c>
      <c r="C24" s="11">
        <v>64</v>
      </c>
      <c r="D24" s="8">
        <v>512</v>
      </c>
      <c r="E24" s="17">
        <v>274.62</v>
      </c>
      <c r="G24" s="35">
        <v>96</v>
      </c>
      <c r="H24" s="11">
        <v>64</v>
      </c>
      <c r="I24" s="8">
        <v>1024</v>
      </c>
      <c r="J24" s="17">
        <v>150.74</v>
      </c>
      <c r="L24" s="35">
        <v>96</v>
      </c>
      <c r="M24" s="11">
        <v>64</v>
      </c>
      <c r="N24" s="11">
        <f t="shared" si="0"/>
        <v>1536</v>
      </c>
      <c r="O24" s="17">
        <v>250.67</v>
      </c>
      <c r="Q24" s="35">
        <v>96</v>
      </c>
      <c r="R24" s="11">
        <v>64</v>
      </c>
      <c r="S24" s="8">
        <f t="shared" si="1"/>
        <v>2048</v>
      </c>
      <c r="T24" s="17">
        <v>120.44</v>
      </c>
      <c r="V24" s="35">
        <v>96</v>
      </c>
      <c r="W24" s="11">
        <v>64</v>
      </c>
      <c r="X24" s="8">
        <f t="shared" si="2"/>
        <v>2560</v>
      </c>
      <c r="Y24" s="17">
        <v>225.64</v>
      </c>
      <c r="AA24" s="35">
        <v>96</v>
      </c>
      <c r="AB24" s="11">
        <v>64</v>
      </c>
      <c r="AC24" s="8">
        <f t="shared" si="3"/>
        <v>3072</v>
      </c>
      <c r="AD24" s="17">
        <v>138.94999999999999</v>
      </c>
      <c r="AF24" s="35">
        <v>96</v>
      </c>
      <c r="AG24" s="11">
        <v>64</v>
      </c>
      <c r="AH24" s="8">
        <v>3584</v>
      </c>
      <c r="AI24" s="64">
        <v>212.23</v>
      </c>
      <c r="AJ24" s="86"/>
      <c r="AK24" s="78">
        <v>96</v>
      </c>
      <c r="AL24" s="11">
        <v>64</v>
      </c>
      <c r="AM24" s="8">
        <v>4096</v>
      </c>
      <c r="AN24" s="17">
        <v>130.79</v>
      </c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</row>
    <row r="25" spans="1:62" ht="16.5" customHeight="1" x14ac:dyDescent="0.35">
      <c r="A25" s="41" t="s">
        <v>14</v>
      </c>
      <c r="B25" s="63">
        <v>128</v>
      </c>
      <c r="C25" s="9">
        <v>64</v>
      </c>
      <c r="D25" s="10">
        <v>512</v>
      </c>
      <c r="E25" s="14">
        <v>278.47000000000003</v>
      </c>
      <c r="G25" s="35">
        <v>128</v>
      </c>
      <c r="H25" s="11">
        <v>64</v>
      </c>
      <c r="I25" s="8">
        <v>1024</v>
      </c>
      <c r="J25" s="17">
        <v>156.97999999999999</v>
      </c>
      <c r="L25" s="35">
        <v>128</v>
      </c>
      <c r="M25" s="11">
        <v>64</v>
      </c>
      <c r="N25" s="11">
        <f t="shared" si="0"/>
        <v>1536</v>
      </c>
      <c r="O25" s="17">
        <v>253.8</v>
      </c>
      <c r="Q25" s="35">
        <v>128</v>
      </c>
      <c r="R25" s="11">
        <v>64</v>
      </c>
      <c r="S25" s="8">
        <f t="shared" si="1"/>
        <v>2048</v>
      </c>
      <c r="T25" s="17">
        <v>123.06</v>
      </c>
      <c r="V25" s="35">
        <v>128</v>
      </c>
      <c r="W25" s="11">
        <v>64</v>
      </c>
      <c r="X25" s="8">
        <f t="shared" si="2"/>
        <v>2560</v>
      </c>
      <c r="Y25" s="17">
        <v>227.85</v>
      </c>
      <c r="AA25" s="35">
        <v>128</v>
      </c>
      <c r="AB25" s="11">
        <v>64</v>
      </c>
      <c r="AC25" s="8">
        <f t="shared" si="3"/>
        <v>3072</v>
      </c>
      <c r="AD25" s="17">
        <v>125.19</v>
      </c>
      <c r="AF25" s="35">
        <v>128</v>
      </c>
      <c r="AG25" s="11">
        <v>64</v>
      </c>
      <c r="AH25" s="8">
        <v>3584</v>
      </c>
      <c r="AI25" s="64">
        <v>217.05</v>
      </c>
      <c r="AJ25" s="86"/>
      <c r="AK25" s="78">
        <v>128</v>
      </c>
      <c r="AL25" s="11">
        <v>64</v>
      </c>
      <c r="AM25" s="8">
        <v>4096</v>
      </c>
      <c r="AN25" s="17">
        <v>100.79</v>
      </c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</row>
    <row r="26" spans="1:62" s="15" customFormat="1" ht="16.5" customHeight="1" x14ac:dyDescent="0.35">
      <c r="A26" s="1"/>
      <c r="B26" s="35">
        <v>160</v>
      </c>
      <c r="C26" s="11">
        <v>64</v>
      </c>
      <c r="D26" s="8">
        <v>512</v>
      </c>
      <c r="E26" s="17">
        <v>283.98</v>
      </c>
      <c r="G26" s="35">
        <v>160</v>
      </c>
      <c r="H26" s="11">
        <v>64</v>
      </c>
      <c r="I26" s="8">
        <v>1024</v>
      </c>
      <c r="J26" s="17">
        <v>167.83</v>
      </c>
      <c r="L26" s="35">
        <v>160</v>
      </c>
      <c r="M26" s="11">
        <v>64</v>
      </c>
      <c r="N26" s="11">
        <f t="shared" si="0"/>
        <v>1536</v>
      </c>
      <c r="O26" s="17">
        <v>255.07</v>
      </c>
      <c r="Q26" s="35">
        <v>160</v>
      </c>
      <c r="R26" s="11">
        <v>64</v>
      </c>
      <c r="S26" s="8">
        <f t="shared" si="1"/>
        <v>2048</v>
      </c>
      <c r="T26" s="17">
        <v>133.94</v>
      </c>
      <c r="V26" s="35">
        <v>160</v>
      </c>
      <c r="W26" s="11">
        <v>64</v>
      </c>
      <c r="X26" s="8">
        <f t="shared" si="2"/>
        <v>2560</v>
      </c>
      <c r="Y26" s="17">
        <v>229.24</v>
      </c>
      <c r="AA26" s="35">
        <v>160</v>
      </c>
      <c r="AB26" s="11">
        <v>64</v>
      </c>
      <c r="AC26" s="8">
        <f t="shared" si="3"/>
        <v>3072</v>
      </c>
      <c r="AD26" s="17"/>
      <c r="AF26" s="35">
        <v>160</v>
      </c>
      <c r="AG26" s="11">
        <v>64</v>
      </c>
      <c r="AH26" s="8">
        <v>3584</v>
      </c>
      <c r="AI26" s="64"/>
      <c r="AJ26" s="86"/>
      <c r="AK26" s="35">
        <v>160</v>
      </c>
      <c r="AL26" s="11">
        <v>64</v>
      </c>
      <c r="AM26" s="8">
        <v>4096</v>
      </c>
      <c r="AN26" s="17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</row>
    <row r="27" spans="1:62" s="15" customFormat="1" ht="16.5" customHeight="1" x14ac:dyDescent="0.35">
      <c r="A27" s="1"/>
      <c r="B27" s="35">
        <v>192</v>
      </c>
      <c r="C27" s="11">
        <v>64</v>
      </c>
      <c r="D27" s="8">
        <v>512</v>
      </c>
      <c r="E27" s="17">
        <v>291.70999999999998</v>
      </c>
      <c r="G27" s="35">
        <v>192</v>
      </c>
      <c r="H27" s="11">
        <v>64</v>
      </c>
      <c r="I27" s="8">
        <v>1024</v>
      </c>
      <c r="J27" s="17">
        <v>167.91</v>
      </c>
      <c r="L27" s="35">
        <v>192</v>
      </c>
      <c r="M27" s="11">
        <v>64</v>
      </c>
      <c r="N27" s="11">
        <f t="shared" si="0"/>
        <v>1536</v>
      </c>
      <c r="O27" s="17">
        <v>260.23</v>
      </c>
      <c r="Q27" s="35">
        <v>192</v>
      </c>
      <c r="R27" s="11">
        <v>64</v>
      </c>
      <c r="S27" s="8">
        <f t="shared" si="1"/>
        <v>2048</v>
      </c>
      <c r="T27" s="17">
        <v>126.02</v>
      </c>
      <c r="V27" s="35">
        <v>192</v>
      </c>
      <c r="W27" s="11">
        <v>64</v>
      </c>
      <c r="X27" s="8">
        <f t="shared" si="2"/>
        <v>2560</v>
      </c>
      <c r="Y27" s="17">
        <v>232.89</v>
      </c>
      <c r="AA27" s="35">
        <v>192</v>
      </c>
      <c r="AB27" s="11">
        <v>64</v>
      </c>
      <c r="AC27" s="8">
        <f t="shared" si="3"/>
        <v>3072</v>
      </c>
      <c r="AD27" s="17"/>
      <c r="AF27" s="35">
        <v>192</v>
      </c>
      <c r="AG27" s="11">
        <v>64</v>
      </c>
      <c r="AH27" s="8">
        <v>3584</v>
      </c>
      <c r="AI27" s="64"/>
      <c r="AJ27" s="86"/>
      <c r="AK27" s="35">
        <v>192</v>
      </c>
      <c r="AL27" s="11">
        <v>64</v>
      </c>
      <c r="AM27" s="8">
        <v>4096</v>
      </c>
      <c r="AN27" s="17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</row>
    <row r="28" spans="1:62" s="15" customFormat="1" ht="16.5" customHeight="1" x14ac:dyDescent="0.35">
      <c r="A28" s="1"/>
      <c r="B28" s="35">
        <v>224</v>
      </c>
      <c r="C28" s="11">
        <v>64</v>
      </c>
      <c r="D28" s="8">
        <v>512</v>
      </c>
      <c r="E28" s="17">
        <v>299.64</v>
      </c>
      <c r="G28" s="35">
        <v>224</v>
      </c>
      <c r="H28" s="11">
        <v>64</v>
      </c>
      <c r="I28" s="8">
        <v>1024</v>
      </c>
      <c r="J28" s="17">
        <v>167.9</v>
      </c>
      <c r="L28" s="35">
        <v>224</v>
      </c>
      <c r="M28" s="11">
        <v>64</v>
      </c>
      <c r="N28" s="11">
        <f t="shared" si="0"/>
        <v>1536</v>
      </c>
      <c r="O28" s="17">
        <v>254.58</v>
      </c>
      <c r="Q28" s="35">
        <v>224</v>
      </c>
      <c r="R28" s="11">
        <v>64</v>
      </c>
      <c r="S28" s="8">
        <f t="shared" si="1"/>
        <v>2048</v>
      </c>
      <c r="T28" s="17">
        <v>130.47999999999999</v>
      </c>
      <c r="V28" s="35">
        <v>224</v>
      </c>
      <c r="W28" s="11">
        <v>64</v>
      </c>
      <c r="X28" s="8">
        <f t="shared" si="2"/>
        <v>2560</v>
      </c>
      <c r="Y28" s="17">
        <v>232.06</v>
      </c>
      <c r="AA28" s="35">
        <v>224</v>
      </c>
      <c r="AB28" s="11">
        <v>64</v>
      </c>
      <c r="AC28" s="8">
        <f t="shared" si="3"/>
        <v>3072</v>
      </c>
      <c r="AD28" s="17"/>
      <c r="AF28" s="35">
        <v>224</v>
      </c>
      <c r="AG28" s="11">
        <v>64</v>
      </c>
      <c r="AH28" s="8">
        <v>3584</v>
      </c>
      <c r="AI28" s="64"/>
      <c r="AJ28" s="86"/>
      <c r="AK28" s="35">
        <v>224</v>
      </c>
      <c r="AL28" s="11">
        <v>64</v>
      </c>
      <c r="AM28" s="8">
        <v>4096</v>
      </c>
      <c r="AN28" s="17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</row>
    <row r="29" spans="1:62" s="15" customFormat="1" ht="16.5" customHeight="1" x14ac:dyDescent="0.35">
      <c r="A29" s="1" t="s">
        <v>15</v>
      </c>
      <c r="B29" s="35">
        <v>256</v>
      </c>
      <c r="C29" s="11">
        <v>64</v>
      </c>
      <c r="D29" s="8">
        <v>512</v>
      </c>
      <c r="E29" s="17">
        <v>290.13</v>
      </c>
      <c r="G29" s="35">
        <v>256</v>
      </c>
      <c r="H29" s="11">
        <v>64</v>
      </c>
      <c r="I29" s="8">
        <v>1024</v>
      </c>
      <c r="J29" s="17">
        <v>162.31</v>
      </c>
      <c r="L29" s="35">
        <v>256</v>
      </c>
      <c r="M29" s="11">
        <v>64</v>
      </c>
      <c r="N29" s="11">
        <f t="shared" si="0"/>
        <v>1536</v>
      </c>
      <c r="O29" s="17">
        <v>261.79000000000002</v>
      </c>
      <c r="Q29" s="35">
        <v>256</v>
      </c>
      <c r="R29" s="11">
        <v>64</v>
      </c>
      <c r="S29" s="8">
        <f t="shared" si="1"/>
        <v>2048</v>
      </c>
      <c r="T29" s="17">
        <v>134.44999999999999</v>
      </c>
      <c r="V29" s="35">
        <v>256</v>
      </c>
      <c r="W29" s="11">
        <v>64</v>
      </c>
      <c r="X29" s="8">
        <f t="shared" si="2"/>
        <v>2560</v>
      </c>
      <c r="Y29" s="17">
        <v>230.04</v>
      </c>
      <c r="AA29" s="35">
        <v>256</v>
      </c>
      <c r="AB29" s="11">
        <v>64</v>
      </c>
      <c r="AC29" s="8">
        <f t="shared" si="3"/>
        <v>3072</v>
      </c>
      <c r="AD29" s="17">
        <v>127.04</v>
      </c>
      <c r="AF29" s="35">
        <v>256</v>
      </c>
      <c r="AG29" s="11">
        <v>64</v>
      </c>
      <c r="AH29" s="8">
        <v>3584</v>
      </c>
      <c r="AI29" s="64">
        <v>219.25</v>
      </c>
      <c r="AJ29" s="86"/>
      <c r="AK29" s="35">
        <v>256</v>
      </c>
      <c r="AL29" s="11">
        <v>64</v>
      </c>
      <c r="AM29" s="8">
        <v>4096</v>
      </c>
      <c r="AN29" s="17">
        <v>101.37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</row>
    <row r="30" spans="1:62" s="15" customFormat="1" ht="16.5" customHeight="1" x14ac:dyDescent="0.35">
      <c r="A30" s="1"/>
      <c r="B30" s="35">
        <v>288</v>
      </c>
      <c r="C30" s="11">
        <v>64</v>
      </c>
      <c r="D30" s="8">
        <v>512</v>
      </c>
      <c r="E30" s="17">
        <v>303.58</v>
      </c>
      <c r="G30" s="35">
        <v>288</v>
      </c>
      <c r="H30" s="11">
        <v>64</v>
      </c>
      <c r="I30" s="8">
        <v>1024</v>
      </c>
      <c r="J30" s="17">
        <v>167.89</v>
      </c>
      <c r="L30" s="35">
        <v>288</v>
      </c>
      <c r="M30" s="11">
        <v>64</v>
      </c>
      <c r="N30" s="11">
        <f t="shared" si="0"/>
        <v>1536</v>
      </c>
      <c r="O30" s="17">
        <v>261.95</v>
      </c>
      <c r="Q30" s="35">
        <v>288</v>
      </c>
      <c r="R30" s="11">
        <v>64</v>
      </c>
      <c r="S30" s="8">
        <f t="shared" si="1"/>
        <v>2048</v>
      </c>
      <c r="T30" s="17">
        <v>129.79</v>
      </c>
      <c r="V30" s="35">
        <v>288</v>
      </c>
      <c r="W30" s="11">
        <v>64</v>
      </c>
      <c r="X30" s="8">
        <f t="shared" si="2"/>
        <v>2560</v>
      </c>
      <c r="Y30" s="17">
        <v>233.96</v>
      </c>
      <c r="AA30" s="35">
        <v>288</v>
      </c>
      <c r="AB30" s="11">
        <v>64</v>
      </c>
      <c r="AC30" s="8">
        <f t="shared" si="3"/>
        <v>3072</v>
      </c>
      <c r="AD30" s="17"/>
      <c r="AF30" s="35">
        <v>288</v>
      </c>
      <c r="AG30" s="11">
        <v>64</v>
      </c>
      <c r="AH30" s="8">
        <v>3584</v>
      </c>
      <c r="AI30" s="64"/>
      <c r="AJ30" s="86"/>
      <c r="AK30" s="35">
        <v>288</v>
      </c>
      <c r="AL30" s="11">
        <v>64</v>
      </c>
      <c r="AM30" s="8">
        <v>4096</v>
      </c>
      <c r="AN30" s="17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</row>
    <row r="31" spans="1:62" s="15" customFormat="1" ht="16.5" customHeight="1" x14ac:dyDescent="0.35">
      <c r="A31" s="1"/>
      <c r="B31" s="35">
        <v>320</v>
      </c>
      <c r="C31" s="11">
        <v>64</v>
      </c>
      <c r="D31" s="8">
        <v>512</v>
      </c>
      <c r="E31" s="17">
        <v>296.86</v>
      </c>
      <c r="G31" s="35">
        <v>320</v>
      </c>
      <c r="H31" s="11">
        <v>64</v>
      </c>
      <c r="I31" s="8">
        <v>1024</v>
      </c>
      <c r="J31" s="17">
        <v>167.98</v>
      </c>
      <c r="L31" s="35">
        <v>320</v>
      </c>
      <c r="M31" s="11">
        <v>64</v>
      </c>
      <c r="N31" s="11">
        <f t="shared" si="0"/>
        <v>1536</v>
      </c>
      <c r="O31" s="17">
        <v>260.10000000000002</v>
      </c>
      <c r="Q31" s="35">
        <v>320</v>
      </c>
      <c r="R31" s="11">
        <v>64</v>
      </c>
      <c r="S31" s="8">
        <f t="shared" si="1"/>
        <v>2048</v>
      </c>
      <c r="T31" s="17">
        <v>126.04</v>
      </c>
      <c r="V31" s="35">
        <v>320</v>
      </c>
      <c r="W31" s="11">
        <v>64</v>
      </c>
      <c r="X31" s="8">
        <f t="shared" si="2"/>
        <v>2560</v>
      </c>
      <c r="Y31" s="17">
        <v>231.24</v>
      </c>
      <c r="AA31" s="35">
        <v>320</v>
      </c>
      <c r="AB31" s="11">
        <v>64</v>
      </c>
      <c r="AC31" s="8">
        <f t="shared" si="3"/>
        <v>3072</v>
      </c>
      <c r="AD31" s="17"/>
      <c r="AF31" s="35">
        <v>320</v>
      </c>
      <c r="AG31" s="11">
        <v>64</v>
      </c>
      <c r="AH31" s="8">
        <v>3584</v>
      </c>
      <c r="AI31" s="64"/>
      <c r="AJ31" s="86"/>
      <c r="AK31" s="35">
        <v>320</v>
      </c>
      <c r="AL31" s="11">
        <v>64</v>
      </c>
      <c r="AM31" s="8">
        <v>4096</v>
      </c>
      <c r="AN31" s="17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</row>
    <row r="32" spans="1:62" s="15" customFormat="1" ht="16.5" customHeight="1" x14ac:dyDescent="0.35">
      <c r="A32" s="1"/>
      <c r="B32" s="35">
        <v>352</v>
      </c>
      <c r="C32" s="11">
        <v>64</v>
      </c>
      <c r="D32" s="8">
        <v>512</v>
      </c>
      <c r="E32" s="17">
        <v>302.7</v>
      </c>
      <c r="G32" s="35">
        <v>352</v>
      </c>
      <c r="H32" s="11">
        <v>64</v>
      </c>
      <c r="I32" s="8">
        <v>1024</v>
      </c>
      <c r="J32" s="17">
        <v>167.92</v>
      </c>
      <c r="L32" s="35">
        <v>352</v>
      </c>
      <c r="M32" s="11">
        <v>64</v>
      </c>
      <c r="N32" s="11">
        <f t="shared" si="0"/>
        <v>1536</v>
      </c>
      <c r="O32" s="17">
        <v>264.97000000000003</v>
      </c>
      <c r="Q32" s="35">
        <v>352</v>
      </c>
      <c r="R32" s="11">
        <v>64</v>
      </c>
      <c r="S32" s="8">
        <f t="shared" si="1"/>
        <v>2048</v>
      </c>
      <c r="T32" s="17">
        <v>132.41</v>
      </c>
      <c r="V32" s="35">
        <v>352</v>
      </c>
      <c r="W32" s="11">
        <v>64</v>
      </c>
      <c r="X32" s="8">
        <f t="shared" si="2"/>
        <v>2560</v>
      </c>
      <c r="Y32" s="17">
        <v>230.45</v>
      </c>
      <c r="AA32" s="35">
        <v>352</v>
      </c>
      <c r="AB32" s="11">
        <v>64</v>
      </c>
      <c r="AC32" s="8">
        <f t="shared" si="3"/>
        <v>3072</v>
      </c>
      <c r="AD32" s="17"/>
      <c r="AF32" s="35">
        <v>352</v>
      </c>
      <c r="AG32" s="11">
        <v>64</v>
      </c>
      <c r="AH32" s="8">
        <v>3584</v>
      </c>
      <c r="AI32" s="64"/>
      <c r="AJ32" s="86"/>
      <c r="AK32" s="35">
        <v>352</v>
      </c>
      <c r="AL32" s="11">
        <v>64</v>
      </c>
      <c r="AM32" s="8">
        <v>4096</v>
      </c>
      <c r="AN32" s="17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</row>
    <row r="33" spans="1:62" s="15" customFormat="1" ht="16.5" customHeight="1" x14ac:dyDescent="0.35">
      <c r="A33" s="1"/>
      <c r="B33" s="35">
        <v>384</v>
      </c>
      <c r="C33" s="11">
        <v>64</v>
      </c>
      <c r="D33" s="8">
        <v>512</v>
      </c>
      <c r="E33" s="17">
        <v>310.68</v>
      </c>
      <c r="G33" s="35">
        <v>384</v>
      </c>
      <c r="H33" s="11">
        <v>64</v>
      </c>
      <c r="I33" s="8">
        <v>1024</v>
      </c>
      <c r="J33" s="17">
        <v>167.91</v>
      </c>
      <c r="L33" s="35">
        <v>384</v>
      </c>
      <c r="M33" s="11">
        <v>64</v>
      </c>
      <c r="N33" s="11">
        <f t="shared" si="0"/>
        <v>1536</v>
      </c>
      <c r="O33" s="17">
        <v>264.89</v>
      </c>
      <c r="Q33" s="35">
        <v>384</v>
      </c>
      <c r="R33" s="11">
        <v>64</v>
      </c>
      <c r="S33" s="8">
        <f t="shared" si="1"/>
        <v>2048</v>
      </c>
      <c r="T33" s="17">
        <v>134.43</v>
      </c>
      <c r="V33" s="35">
        <v>384</v>
      </c>
      <c r="W33" s="11">
        <v>64</v>
      </c>
      <c r="X33" s="8">
        <f t="shared" si="2"/>
        <v>2560</v>
      </c>
      <c r="Y33" s="17">
        <v>231.38</v>
      </c>
      <c r="AA33" s="35">
        <v>384</v>
      </c>
      <c r="AB33" s="11">
        <v>64</v>
      </c>
      <c r="AC33" s="8">
        <f t="shared" si="3"/>
        <v>3072</v>
      </c>
      <c r="AD33" s="17"/>
      <c r="AF33" s="35">
        <v>384</v>
      </c>
      <c r="AG33" s="11">
        <v>64</v>
      </c>
      <c r="AH33" s="8">
        <v>3584</v>
      </c>
      <c r="AI33" s="64"/>
      <c r="AJ33" s="86"/>
      <c r="AK33" s="35">
        <v>384</v>
      </c>
      <c r="AL33" s="11">
        <v>64</v>
      </c>
      <c r="AM33" s="8">
        <v>4096</v>
      </c>
      <c r="AN33" s="17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</row>
    <row r="34" spans="1:62" s="15" customFormat="1" ht="16.5" customHeight="1" x14ac:dyDescent="0.35">
      <c r="A34" s="1"/>
      <c r="B34" s="35">
        <v>416</v>
      </c>
      <c r="C34" s="11">
        <v>64</v>
      </c>
      <c r="D34" s="8">
        <v>512</v>
      </c>
      <c r="E34" s="17">
        <v>311.47000000000003</v>
      </c>
      <c r="G34" s="35">
        <v>416</v>
      </c>
      <c r="H34" s="11">
        <v>64</v>
      </c>
      <c r="I34" s="8">
        <v>1024</v>
      </c>
      <c r="J34" s="17">
        <v>168.03</v>
      </c>
      <c r="L34" s="35">
        <v>416</v>
      </c>
      <c r="M34" s="11">
        <v>64</v>
      </c>
      <c r="N34" s="11">
        <f t="shared" si="0"/>
        <v>1536</v>
      </c>
      <c r="O34" s="17">
        <v>263.66000000000003</v>
      </c>
      <c r="Q34" s="35">
        <v>416</v>
      </c>
      <c r="R34" s="11">
        <v>64</v>
      </c>
      <c r="S34" s="8">
        <f t="shared" si="1"/>
        <v>2048</v>
      </c>
      <c r="T34" s="17">
        <v>129.63</v>
      </c>
      <c r="V34" s="35">
        <v>416</v>
      </c>
      <c r="W34" s="11">
        <v>64</v>
      </c>
      <c r="X34" s="8">
        <f t="shared" si="2"/>
        <v>2560</v>
      </c>
      <c r="Y34" s="17">
        <v>231.03</v>
      </c>
      <c r="AA34" s="35">
        <v>416</v>
      </c>
      <c r="AB34" s="11">
        <v>64</v>
      </c>
      <c r="AC34" s="8">
        <f t="shared" si="3"/>
        <v>3072</v>
      </c>
      <c r="AD34" s="17"/>
      <c r="AF34" s="35">
        <v>416</v>
      </c>
      <c r="AG34" s="11">
        <v>64</v>
      </c>
      <c r="AH34" s="8">
        <v>3584</v>
      </c>
      <c r="AI34" s="64"/>
      <c r="AJ34" s="86"/>
      <c r="AK34" s="35">
        <v>416</v>
      </c>
      <c r="AL34" s="11">
        <v>64</v>
      </c>
      <c r="AM34" s="8">
        <v>4096</v>
      </c>
      <c r="AN34" s="17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</row>
    <row r="35" spans="1:62" s="15" customFormat="1" ht="16.5" customHeight="1" x14ac:dyDescent="0.35">
      <c r="A35" s="1"/>
      <c r="B35" s="35">
        <v>448</v>
      </c>
      <c r="C35" s="11">
        <v>64</v>
      </c>
      <c r="D35" s="8">
        <v>512</v>
      </c>
      <c r="E35" s="17">
        <v>311.20999999999998</v>
      </c>
      <c r="G35" s="35">
        <v>448</v>
      </c>
      <c r="H35" s="11">
        <v>64</v>
      </c>
      <c r="I35" s="8">
        <v>1024</v>
      </c>
      <c r="J35" s="17">
        <v>167.99</v>
      </c>
      <c r="L35" s="35">
        <v>448</v>
      </c>
      <c r="M35" s="11">
        <v>64</v>
      </c>
      <c r="N35" s="11">
        <f t="shared" si="0"/>
        <v>1536</v>
      </c>
      <c r="O35" s="17">
        <v>267.35000000000002</v>
      </c>
      <c r="Q35" s="35">
        <v>448</v>
      </c>
      <c r="R35" s="11">
        <v>64</v>
      </c>
      <c r="S35" s="8">
        <f t="shared" si="1"/>
        <v>2048</v>
      </c>
      <c r="T35" s="17">
        <v>131.33000000000001</v>
      </c>
      <c r="V35" s="35">
        <v>448</v>
      </c>
      <c r="W35" s="11">
        <v>64</v>
      </c>
      <c r="X35" s="8">
        <f t="shared" si="2"/>
        <v>2560</v>
      </c>
      <c r="Y35" s="17">
        <v>230.78</v>
      </c>
      <c r="AA35" s="35">
        <v>448</v>
      </c>
      <c r="AB35" s="11">
        <v>64</v>
      </c>
      <c r="AC35" s="8">
        <f t="shared" si="3"/>
        <v>3072</v>
      </c>
      <c r="AD35" s="17"/>
      <c r="AF35" s="35">
        <v>448</v>
      </c>
      <c r="AG35" s="11">
        <v>64</v>
      </c>
      <c r="AH35" s="8">
        <v>3584</v>
      </c>
      <c r="AI35" s="64"/>
      <c r="AJ35" s="86"/>
      <c r="AK35" s="35">
        <v>448</v>
      </c>
      <c r="AL35" s="11">
        <v>64</v>
      </c>
      <c r="AM35" s="8">
        <v>4096</v>
      </c>
      <c r="AN35" s="17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</row>
    <row r="36" spans="1:62" s="15" customFormat="1" ht="16.5" customHeight="1" x14ac:dyDescent="0.35">
      <c r="A36" s="1"/>
      <c r="B36" s="35">
        <v>480</v>
      </c>
      <c r="C36" s="11">
        <v>64</v>
      </c>
      <c r="D36" s="8">
        <v>512</v>
      </c>
      <c r="E36" s="17">
        <v>313.32</v>
      </c>
      <c r="G36" s="35">
        <v>480</v>
      </c>
      <c r="H36" s="11">
        <v>64</v>
      </c>
      <c r="I36" s="8">
        <v>1024</v>
      </c>
      <c r="J36" s="17">
        <v>167.98</v>
      </c>
      <c r="L36" s="35">
        <v>480</v>
      </c>
      <c r="M36" s="11">
        <v>64</v>
      </c>
      <c r="N36" s="11">
        <f t="shared" si="0"/>
        <v>1536</v>
      </c>
      <c r="O36" s="17">
        <v>264.64</v>
      </c>
      <c r="Q36" s="35">
        <v>480</v>
      </c>
      <c r="R36" s="11">
        <v>64</v>
      </c>
      <c r="S36" s="8">
        <f t="shared" si="1"/>
        <v>2048</v>
      </c>
      <c r="T36" s="17">
        <v>126.43</v>
      </c>
      <c r="V36" s="35">
        <v>480</v>
      </c>
      <c r="W36" s="11">
        <v>64</v>
      </c>
      <c r="X36" s="8">
        <f t="shared" si="2"/>
        <v>2560</v>
      </c>
      <c r="Y36" s="17">
        <v>231.64</v>
      </c>
      <c r="AA36" s="35">
        <v>480</v>
      </c>
      <c r="AB36" s="11">
        <v>64</v>
      </c>
      <c r="AC36" s="8">
        <f t="shared" si="3"/>
        <v>3072</v>
      </c>
      <c r="AD36" s="17"/>
      <c r="AF36" s="35">
        <v>480</v>
      </c>
      <c r="AG36" s="11">
        <v>64</v>
      </c>
      <c r="AH36" s="8">
        <v>3584</v>
      </c>
      <c r="AI36" s="64"/>
      <c r="AJ36" s="86"/>
      <c r="AK36" s="35">
        <v>480</v>
      </c>
      <c r="AL36" s="11">
        <v>64</v>
      </c>
      <c r="AM36" s="8">
        <v>4096</v>
      </c>
      <c r="AN36" s="17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</row>
    <row r="37" spans="1:62" s="15" customFormat="1" ht="16.5" customHeight="1" x14ac:dyDescent="0.35">
      <c r="A37" s="1" t="s">
        <v>16</v>
      </c>
      <c r="B37" s="35">
        <v>512</v>
      </c>
      <c r="C37" s="11">
        <v>64</v>
      </c>
      <c r="D37" s="8">
        <v>512</v>
      </c>
      <c r="E37" s="17">
        <v>301.89999999999998</v>
      </c>
      <c r="G37" s="35">
        <v>512</v>
      </c>
      <c r="H37" s="11">
        <v>64</v>
      </c>
      <c r="I37" s="8">
        <v>1024</v>
      </c>
      <c r="J37" s="17">
        <v>164.94</v>
      </c>
      <c r="L37" s="35">
        <v>512</v>
      </c>
      <c r="M37" s="11">
        <v>64</v>
      </c>
      <c r="N37" s="11">
        <f t="shared" ref="N37:N68" si="5">D37*3</f>
        <v>1536</v>
      </c>
      <c r="O37" s="17">
        <v>265.7</v>
      </c>
      <c r="Q37" s="35">
        <v>512</v>
      </c>
      <c r="R37" s="11">
        <v>64</v>
      </c>
      <c r="S37" s="8">
        <f t="shared" ref="S37:S68" si="6">D37*4</f>
        <v>2048</v>
      </c>
      <c r="T37" s="17">
        <v>134.44999999999999</v>
      </c>
      <c r="V37" s="35">
        <v>512</v>
      </c>
      <c r="W37" s="11">
        <v>64</v>
      </c>
      <c r="X37" s="8">
        <f t="shared" ref="X37:X68" si="7">D37*5</f>
        <v>2560</v>
      </c>
      <c r="Y37" s="17">
        <v>231.31</v>
      </c>
      <c r="AA37" s="35">
        <v>512</v>
      </c>
      <c r="AB37" s="11">
        <v>64</v>
      </c>
      <c r="AC37" s="8">
        <f t="shared" ref="AC37:AC68" si="8">D37*6</f>
        <v>3072</v>
      </c>
      <c r="AD37" s="17">
        <v>120.13</v>
      </c>
      <c r="AF37" s="35">
        <v>512</v>
      </c>
      <c r="AG37" s="11">
        <v>64</v>
      </c>
      <c r="AH37" s="8">
        <v>3584</v>
      </c>
      <c r="AI37" s="64">
        <v>221.25</v>
      </c>
      <c r="AJ37" s="86"/>
      <c r="AK37" s="78">
        <v>512</v>
      </c>
      <c r="AL37" s="11">
        <v>64</v>
      </c>
      <c r="AM37" s="8">
        <v>4096</v>
      </c>
      <c r="AN37" s="17">
        <v>100.84</v>
      </c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</row>
    <row r="38" spans="1:62" ht="16.5" customHeight="1" x14ac:dyDescent="0.35">
      <c r="A38" s="52" t="s">
        <v>17</v>
      </c>
      <c r="B38" s="70">
        <v>1024</v>
      </c>
      <c r="C38" s="71">
        <v>64</v>
      </c>
      <c r="D38" s="72">
        <v>512</v>
      </c>
      <c r="E38" s="74">
        <v>308.39</v>
      </c>
      <c r="F38" s="3"/>
      <c r="G38" s="65">
        <v>1024</v>
      </c>
      <c r="H38" s="66">
        <v>64</v>
      </c>
      <c r="I38" s="67">
        <v>1024</v>
      </c>
      <c r="J38" s="69">
        <v>167.31</v>
      </c>
      <c r="L38" s="65">
        <v>1024</v>
      </c>
      <c r="M38" s="66">
        <v>64</v>
      </c>
      <c r="N38" s="11">
        <f t="shared" si="5"/>
        <v>1536</v>
      </c>
      <c r="O38" s="69">
        <v>267.58</v>
      </c>
      <c r="Q38" s="65">
        <v>1024</v>
      </c>
      <c r="R38" s="66">
        <v>64</v>
      </c>
      <c r="S38" s="8">
        <f t="shared" si="6"/>
        <v>2048</v>
      </c>
      <c r="T38" s="69">
        <v>134.47</v>
      </c>
      <c r="V38" s="65">
        <v>1024</v>
      </c>
      <c r="W38" s="66">
        <v>64</v>
      </c>
      <c r="X38" s="8">
        <f t="shared" si="7"/>
        <v>2560</v>
      </c>
      <c r="Y38" s="69">
        <v>194.13</v>
      </c>
      <c r="AA38" s="65">
        <v>1024</v>
      </c>
      <c r="AB38" s="66">
        <v>64</v>
      </c>
      <c r="AC38" s="8">
        <f t="shared" si="8"/>
        <v>3072</v>
      </c>
      <c r="AD38" s="69">
        <v>120.73</v>
      </c>
      <c r="AF38" s="65">
        <v>1024</v>
      </c>
      <c r="AG38" s="66">
        <v>64</v>
      </c>
      <c r="AH38" s="8">
        <v>3584</v>
      </c>
      <c r="AI38" s="68">
        <v>221.63</v>
      </c>
      <c r="AJ38" s="87"/>
      <c r="AK38" s="79">
        <v>1024</v>
      </c>
      <c r="AL38" s="66">
        <v>64</v>
      </c>
      <c r="AM38" s="8">
        <v>4096</v>
      </c>
      <c r="AN38" s="69">
        <v>100.93</v>
      </c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</row>
    <row r="39" spans="1:62" ht="16.5" customHeight="1" x14ac:dyDescent="0.35">
      <c r="B39" s="34">
        <v>32</v>
      </c>
      <c r="C39" s="44">
        <v>96</v>
      </c>
      <c r="D39" s="44">
        <f t="shared" ref="D39:D70" si="9">C39*8</f>
        <v>768</v>
      </c>
      <c r="E39" s="16">
        <v>162.1</v>
      </c>
      <c r="G39" s="34">
        <v>32</v>
      </c>
      <c r="H39" s="44">
        <v>96</v>
      </c>
      <c r="I39" s="44">
        <f t="shared" ref="I39:I70" si="10">H39*8*2</f>
        <v>1536</v>
      </c>
      <c r="J39" s="16">
        <v>132.63999999999999</v>
      </c>
      <c r="L39" s="34">
        <v>32</v>
      </c>
      <c r="M39" s="44">
        <v>96</v>
      </c>
      <c r="N39" s="11">
        <f t="shared" si="5"/>
        <v>2304</v>
      </c>
      <c r="O39" s="16">
        <v>152.41999999999999</v>
      </c>
      <c r="Q39" s="34">
        <v>32</v>
      </c>
      <c r="R39" s="44">
        <v>96</v>
      </c>
      <c r="S39" s="11">
        <f t="shared" si="6"/>
        <v>3072</v>
      </c>
      <c r="T39" s="16">
        <v>103.62</v>
      </c>
      <c r="V39" s="34">
        <v>32</v>
      </c>
      <c r="W39" s="44">
        <v>96</v>
      </c>
      <c r="X39" s="11">
        <f t="shared" si="7"/>
        <v>3840</v>
      </c>
      <c r="Y39" s="16">
        <v>150.57</v>
      </c>
      <c r="AA39" s="34">
        <v>32</v>
      </c>
      <c r="AB39" s="44">
        <v>96</v>
      </c>
      <c r="AC39" s="11">
        <f t="shared" si="8"/>
        <v>4608</v>
      </c>
      <c r="AD39" s="16">
        <v>115</v>
      </c>
      <c r="AF39" s="34">
        <v>32</v>
      </c>
      <c r="AG39" s="44">
        <v>96</v>
      </c>
      <c r="AH39" s="11">
        <v>5376</v>
      </c>
      <c r="AI39" s="62">
        <v>147.13999999999999</v>
      </c>
      <c r="AJ39" s="86"/>
      <c r="AK39" s="77">
        <v>32</v>
      </c>
      <c r="AL39" s="44">
        <v>96</v>
      </c>
      <c r="AM39" s="11">
        <v>6144</v>
      </c>
      <c r="AN39" s="16">
        <v>88.57</v>
      </c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</row>
    <row r="40" spans="1:62" ht="16.5" customHeight="1" x14ac:dyDescent="0.35">
      <c r="B40" s="35">
        <v>64</v>
      </c>
      <c r="C40" s="11">
        <v>96</v>
      </c>
      <c r="D40" s="11">
        <f t="shared" si="9"/>
        <v>768</v>
      </c>
      <c r="E40" s="17">
        <v>175.11</v>
      </c>
      <c r="G40" s="35">
        <v>64</v>
      </c>
      <c r="H40" s="11">
        <v>96</v>
      </c>
      <c r="I40" s="11">
        <f t="shared" si="10"/>
        <v>1536</v>
      </c>
      <c r="J40" s="17">
        <v>132.72</v>
      </c>
      <c r="L40" s="35">
        <v>64</v>
      </c>
      <c r="M40" s="11">
        <v>96</v>
      </c>
      <c r="N40" s="11">
        <f t="shared" si="5"/>
        <v>2304</v>
      </c>
      <c r="O40" s="17">
        <v>163.38</v>
      </c>
      <c r="Q40" s="35">
        <v>64</v>
      </c>
      <c r="R40" s="11">
        <v>96</v>
      </c>
      <c r="S40" s="11">
        <f t="shared" si="6"/>
        <v>3072</v>
      </c>
      <c r="T40" s="17">
        <v>105.32</v>
      </c>
      <c r="V40" s="35">
        <v>64</v>
      </c>
      <c r="W40" s="11">
        <v>96</v>
      </c>
      <c r="X40" s="11">
        <f t="shared" si="7"/>
        <v>3840</v>
      </c>
      <c r="Y40" s="17">
        <v>158.77000000000001</v>
      </c>
      <c r="AA40" s="35">
        <v>64</v>
      </c>
      <c r="AB40" s="11">
        <v>96</v>
      </c>
      <c r="AC40" s="11">
        <f t="shared" si="8"/>
        <v>4608</v>
      </c>
      <c r="AD40" s="17">
        <v>118.41</v>
      </c>
      <c r="AF40" s="35">
        <v>64</v>
      </c>
      <c r="AG40" s="11">
        <v>96</v>
      </c>
      <c r="AH40" s="11">
        <v>5376</v>
      </c>
      <c r="AI40" s="64">
        <v>158.75</v>
      </c>
      <c r="AJ40" s="86"/>
      <c r="AK40" s="78">
        <v>64</v>
      </c>
      <c r="AL40" s="11">
        <v>96</v>
      </c>
      <c r="AM40" s="11">
        <v>6144</v>
      </c>
      <c r="AN40" s="17">
        <v>92.47</v>
      </c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</row>
    <row r="41" spans="1:62" ht="16.5" customHeight="1" x14ac:dyDescent="0.35">
      <c r="B41" s="35">
        <v>96</v>
      </c>
      <c r="C41" s="11">
        <v>96</v>
      </c>
      <c r="D41" s="11">
        <f t="shared" si="9"/>
        <v>768</v>
      </c>
      <c r="E41" s="17">
        <v>178.06</v>
      </c>
      <c r="G41" s="35">
        <v>96</v>
      </c>
      <c r="H41" s="11">
        <v>96</v>
      </c>
      <c r="I41" s="11">
        <f t="shared" si="10"/>
        <v>1536</v>
      </c>
      <c r="J41" s="17">
        <v>137.91999999999999</v>
      </c>
      <c r="L41" s="35">
        <v>96</v>
      </c>
      <c r="M41" s="11">
        <v>96</v>
      </c>
      <c r="N41" s="11">
        <f t="shared" si="5"/>
        <v>2304</v>
      </c>
      <c r="O41" s="17">
        <v>166.2</v>
      </c>
      <c r="Q41" s="35">
        <v>96</v>
      </c>
      <c r="R41" s="11">
        <v>96</v>
      </c>
      <c r="S41" s="11">
        <f t="shared" si="6"/>
        <v>3072</v>
      </c>
      <c r="T41" s="17">
        <v>106.82</v>
      </c>
      <c r="V41" s="35">
        <v>96</v>
      </c>
      <c r="W41" s="11">
        <v>96</v>
      </c>
      <c r="X41" s="11">
        <f t="shared" si="7"/>
        <v>3840</v>
      </c>
      <c r="Y41" s="17">
        <v>163.19999999999999</v>
      </c>
      <c r="AA41" s="35">
        <v>96</v>
      </c>
      <c r="AB41" s="11">
        <v>96</v>
      </c>
      <c r="AC41" s="11">
        <f t="shared" si="8"/>
        <v>4608</v>
      </c>
      <c r="AD41" s="17">
        <v>115.64</v>
      </c>
      <c r="AF41" s="35">
        <v>96</v>
      </c>
      <c r="AG41" s="11">
        <v>96</v>
      </c>
      <c r="AH41" s="11">
        <v>5376</v>
      </c>
      <c r="AI41" s="64">
        <v>162.59</v>
      </c>
      <c r="AJ41" s="86"/>
      <c r="AK41" s="78">
        <v>96</v>
      </c>
      <c r="AL41" s="11">
        <v>96</v>
      </c>
      <c r="AM41" s="11">
        <v>6144</v>
      </c>
      <c r="AN41" s="17">
        <v>90.33</v>
      </c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</row>
    <row r="42" spans="1:62" ht="16.5" customHeight="1" x14ac:dyDescent="0.35">
      <c r="B42" s="35">
        <v>128</v>
      </c>
      <c r="C42" s="11">
        <v>96</v>
      </c>
      <c r="D42" s="11">
        <f t="shared" si="9"/>
        <v>768</v>
      </c>
      <c r="E42" s="17">
        <v>176.68</v>
      </c>
      <c r="G42" s="35">
        <v>128</v>
      </c>
      <c r="H42" s="11">
        <v>96</v>
      </c>
      <c r="I42" s="11">
        <f t="shared" si="10"/>
        <v>1536</v>
      </c>
      <c r="J42" s="17">
        <v>137.31</v>
      </c>
      <c r="L42" s="35">
        <v>128</v>
      </c>
      <c r="M42" s="11">
        <v>96</v>
      </c>
      <c r="N42" s="11">
        <f t="shared" si="5"/>
        <v>2304</v>
      </c>
      <c r="O42" s="17">
        <v>169.2</v>
      </c>
      <c r="Q42" s="35">
        <v>128</v>
      </c>
      <c r="R42" s="11">
        <v>96</v>
      </c>
      <c r="S42" s="11">
        <f t="shared" si="6"/>
        <v>3072</v>
      </c>
      <c r="T42" s="17">
        <v>106.18</v>
      </c>
      <c r="V42" s="35">
        <v>128</v>
      </c>
      <c r="W42" s="11">
        <v>96</v>
      </c>
      <c r="X42" s="11">
        <f t="shared" si="7"/>
        <v>3840</v>
      </c>
      <c r="Y42" s="17">
        <v>162.71</v>
      </c>
      <c r="AA42" s="35">
        <v>128</v>
      </c>
      <c r="AB42" s="11">
        <v>96</v>
      </c>
      <c r="AC42" s="11">
        <f t="shared" si="8"/>
        <v>4608</v>
      </c>
      <c r="AD42" s="17">
        <v>115.78</v>
      </c>
      <c r="AF42" s="35">
        <v>128</v>
      </c>
      <c r="AG42" s="11">
        <v>96</v>
      </c>
      <c r="AH42" s="11">
        <v>5376</v>
      </c>
      <c r="AI42" s="64">
        <v>162.29</v>
      </c>
      <c r="AJ42" s="86"/>
      <c r="AK42" s="78">
        <v>128</v>
      </c>
      <c r="AL42" s="11">
        <v>96</v>
      </c>
      <c r="AM42" s="11">
        <v>6144</v>
      </c>
      <c r="AN42" s="17">
        <v>90.8</v>
      </c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</row>
    <row r="43" spans="1:62" ht="16.5" customHeight="1" x14ac:dyDescent="0.35">
      <c r="B43" s="35">
        <v>256</v>
      </c>
      <c r="C43" s="11">
        <v>96</v>
      </c>
      <c r="D43" s="11">
        <f t="shared" si="9"/>
        <v>768</v>
      </c>
      <c r="E43" s="17">
        <v>176.97</v>
      </c>
      <c r="G43" s="35">
        <v>256</v>
      </c>
      <c r="H43" s="11">
        <v>96</v>
      </c>
      <c r="I43" s="11">
        <f t="shared" si="10"/>
        <v>1536</v>
      </c>
      <c r="J43" s="17">
        <v>140.16999999999999</v>
      </c>
      <c r="L43" s="35">
        <v>256</v>
      </c>
      <c r="M43" s="11">
        <v>96</v>
      </c>
      <c r="N43" s="11">
        <f t="shared" si="5"/>
        <v>2304</v>
      </c>
      <c r="O43" s="17">
        <v>166.56</v>
      </c>
      <c r="Q43" s="35">
        <v>256</v>
      </c>
      <c r="R43" s="11">
        <v>96</v>
      </c>
      <c r="S43" s="11">
        <f t="shared" si="6"/>
        <v>3072</v>
      </c>
      <c r="T43" s="17">
        <v>105.96</v>
      </c>
      <c r="V43" s="35">
        <v>256</v>
      </c>
      <c r="W43" s="11">
        <v>96</v>
      </c>
      <c r="X43" s="11">
        <f t="shared" si="7"/>
        <v>3840</v>
      </c>
      <c r="Y43" s="17">
        <v>163.89</v>
      </c>
      <c r="AA43" s="35">
        <v>256</v>
      </c>
      <c r="AB43" s="11">
        <v>96</v>
      </c>
      <c r="AC43" s="11">
        <f t="shared" si="8"/>
        <v>4608</v>
      </c>
      <c r="AD43" s="17">
        <v>116.6</v>
      </c>
      <c r="AF43" s="35">
        <v>256</v>
      </c>
      <c r="AG43" s="11">
        <v>96</v>
      </c>
      <c r="AH43" s="11">
        <v>5376</v>
      </c>
      <c r="AI43" s="64">
        <v>165.13</v>
      </c>
      <c r="AJ43" s="86"/>
      <c r="AK43" s="78">
        <v>256</v>
      </c>
      <c r="AL43" s="11">
        <v>96</v>
      </c>
      <c r="AM43" s="11">
        <v>6144</v>
      </c>
      <c r="AN43" s="17">
        <v>90.66</v>
      </c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</row>
    <row r="44" spans="1:62" ht="16.5" customHeight="1" x14ac:dyDescent="0.35">
      <c r="B44" s="35">
        <v>512</v>
      </c>
      <c r="C44" s="11">
        <v>96</v>
      </c>
      <c r="D44" s="11">
        <f t="shared" si="9"/>
        <v>768</v>
      </c>
      <c r="E44" s="17">
        <v>173.53</v>
      </c>
      <c r="G44" s="35">
        <v>512</v>
      </c>
      <c r="H44" s="11">
        <v>96</v>
      </c>
      <c r="I44" s="11">
        <f t="shared" si="10"/>
        <v>1536</v>
      </c>
      <c r="J44" s="17">
        <v>134.84</v>
      </c>
      <c r="L44" s="35">
        <v>512</v>
      </c>
      <c r="M44" s="11">
        <v>96</v>
      </c>
      <c r="N44" s="11">
        <f t="shared" si="5"/>
        <v>2304</v>
      </c>
      <c r="O44" s="17">
        <v>168.31</v>
      </c>
      <c r="Q44" s="35">
        <v>512</v>
      </c>
      <c r="R44" s="11">
        <v>96</v>
      </c>
      <c r="S44" s="11">
        <f t="shared" si="6"/>
        <v>3072</v>
      </c>
      <c r="T44" s="17">
        <v>106.47</v>
      </c>
      <c r="V44" s="35">
        <v>512</v>
      </c>
      <c r="W44" s="11">
        <v>96</v>
      </c>
      <c r="X44" s="11">
        <f t="shared" si="7"/>
        <v>3840</v>
      </c>
      <c r="Y44" s="17">
        <v>164.51</v>
      </c>
      <c r="AA44" s="35">
        <v>512</v>
      </c>
      <c r="AB44" s="11">
        <v>96</v>
      </c>
      <c r="AC44" s="11">
        <f t="shared" si="8"/>
        <v>4608</v>
      </c>
      <c r="AD44" s="17">
        <v>116.46</v>
      </c>
      <c r="AF44" s="35">
        <v>512</v>
      </c>
      <c r="AG44" s="11">
        <v>96</v>
      </c>
      <c r="AH44" s="11">
        <v>5376</v>
      </c>
      <c r="AI44" s="64">
        <v>163.98</v>
      </c>
      <c r="AJ44" s="86"/>
      <c r="AK44" s="78">
        <v>512</v>
      </c>
      <c r="AL44" s="11">
        <v>96</v>
      </c>
      <c r="AM44" s="11">
        <v>6144</v>
      </c>
      <c r="AN44" s="17">
        <v>90.79</v>
      </c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</row>
    <row r="45" spans="1:62" ht="16.5" customHeight="1" x14ac:dyDescent="0.35">
      <c r="B45" s="34">
        <v>32</v>
      </c>
      <c r="C45" s="44">
        <v>128</v>
      </c>
      <c r="D45" s="44">
        <f t="shared" si="9"/>
        <v>1024</v>
      </c>
      <c r="E45" s="16">
        <v>207.03</v>
      </c>
      <c r="G45" s="34">
        <v>32</v>
      </c>
      <c r="H45" s="44">
        <v>128</v>
      </c>
      <c r="I45" s="44">
        <f t="shared" si="10"/>
        <v>2048</v>
      </c>
      <c r="J45" s="16">
        <v>200.55</v>
      </c>
      <c r="L45" s="34">
        <v>32</v>
      </c>
      <c r="M45" s="44">
        <v>128</v>
      </c>
      <c r="N45" s="11">
        <f t="shared" si="5"/>
        <v>3072</v>
      </c>
      <c r="O45" s="16">
        <v>201.79</v>
      </c>
      <c r="Q45" s="34">
        <v>32</v>
      </c>
      <c r="R45" s="44">
        <v>128</v>
      </c>
      <c r="S45" s="11">
        <f t="shared" si="6"/>
        <v>4096</v>
      </c>
      <c r="T45" s="16">
        <v>201.29</v>
      </c>
      <c r="V45" s="34">
        <v>32</v>
      </c>
      <c r="W45" s="44">
        <v>128</v>
      </c>
      <c r="X45" s="11">
        <f t="shared" si="7"/>
        <v>5120</v>
      </c>
      <c r="Y45" s="16">
        <v>198.91</v>
      </c>
      <c r="AA45" s="34">
        <v>32</v>
      </c>
      <c r="AB45" s="44">
        <v>128</v>
      </c>
      <c r="AC45" s="11">
        <f t="shared" si="8"/>
        <v>6144</v>
      </c>
      <c r="AD45" s="16">
        <v>190.56</v>
      </c>
      <c r="AF45" s="34">
        <v>32</v>
      </c>
      <c r="AG45" s="44">
        <v>128</v>
      </c>
      <c r="AH45" s="11">
        <v>7168</v>
      </c>
      <c r="AI45" s="62">
        <v>197.54</v>
      </c>
      <c r="AJ45" s="86"/>
      <c r="AK45" s="77">
        <v>32</v>
      </c>
      <c r="AL45" s="44">
        <v>128</v>
      </c>
      <c r="AM45" s="11">
        <v>8192</v>
      </c>
      <c r="AN45" s="16">
        <v>186.74</v>
      </c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</row>
    <row r="46" spans="1:62" ht="16.5" customHeight="1" x14ac:dyDescent="0.35">
      <c r="B46" s="35">
        <v>64</v>
      </c>
      <c r="C46" s="11">
        <v>128</v>
      </c>
      <c r="D46" s="11">
        <f t="shared" si="9"/>
        <v>1024</v>
      </c>
      <c r="E46" s="17">
        <v>214.89</v>
      </c>
      <c r="G46" s="35">
        <v>64</v>
      </c>
      <c r="H46" s="11">
        <v>128</v>
      </c>
      <c r="I46" s="11">
        <f t="shared" si="10"/>
        <v>2048</v>
      </c>
      <c r="J46" s="17">
        <v>205.16</v>
      </c>
      <c r="L46" s="35">
        <v>64</v>
      </c>
      <c r="M46" s="11">
        <v>128</v>
      </c>
      <c r="N46" s="11">
        <f t="shared" si="5"/>
        <v>3072</v>
      </c>
      <c r="O46" s="17">
        <v>208.77</v>
      </c>
      <c r="Q46" s="35">
        <v>64</v>
      </c>
      <c r="R46" s="11">
        <v>128</v>
      </c>
      <c r="S46" s="11">
        <f t="shared" si="6"/>
        <v>4096</v>
      </c>
      <c r="T46" s="17">
        <v>212.96</v>
      </c>
      <c r="V46" s="35">
        <v>64</v>
      </c>
      <c r="W46" s="11">
        <v>128</v>
      </c>
      <c r="X46" s="11">
        <f t="shared" si="7"/>
        <v>5120</v>
      </c>
      <c r="Y46" s="17">
        <v>203.95</v>
      </c>
      <c r="AA46" s="35">
        <v>64</v>
      </c>
      <c r="AB46" s="11">
        <v>128</v>
      </c>
      <c r="AC46" s="11">
        <f t="shared" si="8"/>
        <v>6144</v>
      </c>
      <c r="AD46" s="17">
        <v>206.55</v>
      </c>
      <c r="AF46" s="35">
        <v>64</v>
      </c>
      <c r="AG46" s="11">
        <v>128</v>
      </c>
      <c r="AH46" s="11">
        <v>7168</v>
      </c>
      <c r="AI46" s="64">
        <v>201.68</v>
      </c>
      <c r="AJ46" s="86"/>
      <c r="AK46" s="78">
        <v>64</v>
      </c>
      <c r="AL46" s="11">
        <v>128</v>
      </c>
      <c r="AM46" s="11">
        <v>8192</v>
      </c>
      <c r="AN46" s="17">
        <v>198.33</v>
      </c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</row>
    <row r="47" spans="1:62" ht="16.5" customHeight="1" x14ac:dyDescent="0.35">
      <c r="B47" s="35">
        <v>96</v>
      </c>
      <c r="C47" s="11">
        <v>128</v>
      </c>
      <c r="D47" s="11">
        <f t="shared" si="9"/>
        <v>1024</v>
      </c>
      <c r="E47" s="17">
        <v>218.7</v>
      </c>
      <c r="G47" s="35">
        <v>96</v>
      </c>
      <c r="H47" s="11">
        <v>128</v>
      </c>
      <c r="I47" s="11">
        <f t="shared" si="10"/>
        <v>2048</v>
      </c>
      <c r="J47" s="17">
        <v>206.84</v>
      </c>
      <c r="L47" s="35">
        <v>96</v>
      </c>
      <c r="M47" s="11">
        <v>128</v>
      </c>
      <c r="N47" s="11">
        <f t="shared" si="5"/>
        <v>3072</v>
      </c>
      <c r="O47" s="17">
        <v>220.09</v>
      </c>
      <c r="Q47" s="35">
        <v>96</v>
      </c>
      <c r="R47" s="11">
        <v>128</v>
      </c>
      <c r="S47" s="11">
        <f t="shared" si="6"/>
        <v>4096</v>
      </c>
      <c r="T47" s="17">
        <v>214.09</v>
      </c>
      <c r="V47" s="35">
        <v>96</v>
      </c>
      <c r="W47" s="11">
        <v>128</v>
      </c>
      <c r="X47" s="11">
        <f t="shared" si="7"/>
        <v>5120</v>
      </c>
      <c r="Y47" s="17">
        <v>210.66</v>
      </c>
      <c r="AA47" s="35">
        <v>96</v>
      </c>
      <c r="AB47" s="11">
        <v>128</v>
      </c>
      <c r="AC47" s="11">
        <f t="shared" si="8"/>
        <v>6144</v>
      </c>
      <c r="AD47" s="17">
        <v>204.28</v>
      </c>
      <c r="AF47" s="35">
        <v>96</v>
      </c>
      <c r="AG47" s="11">
        <v>128</v>
      </c>
      <c r="AH47" s="11">
        <v>7168</v>
      </c>
      <c r="AI47" s="64">
        <v>202.46</v>
      </c>
      <c r="AJ47" s="86"/>
      <c r="AK47" s="78">
        <v>96</v>
      </c>
      <c r="AL47" s="11">
        <v>128</v>
      </c>
      <c r="AM47" s="11">
        <v>8192</v>
      </c>
      <c r="AN47" s="17">
        <v>200.27</v>
      </c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</row>
    <row r="48" spans="1:62" ht="16.5" customHeight="1" x14ac:dyDescent="0.35">
      <c r="B48" s="35">
        <v>128</v>
      </c>
      <c r="C48" s="11">
        <v>128</v>
      </c>
      <c r="D48" s="11">
        <f t="shared" si="9"/>
        <v>1024</v>
      </c>
      <c r="E48" s="17">
        <v>219.65</v>
      </c>
      <c r="G48" s="35">
        <v>128</v>
      </c>
      <c r="H48" s="11">
        <v>128</v>
      </c>
      <c r="I48" s="11">
        <f t="shared" si="10"/>
        <v>2048</v>
      </c>
      <c r="J48" s="17">
        <v>205.01</v>
      </c>
      <c r="L48" s="35">
        <v>128</v>
      </c>
      <c r="M48" s="11">
        <v>128</v>
      </c>
      <c r="N48" s="11">
        <f t="shared" si="5"/>
        <v>3072</v>
      </c>
      <c r="O48" s="17">
        <v>216.72</v>
      </c>
      <c r="Q48" s="35">
        <v>128</v>
      </c>
      <c r="R48" s="11">
        <v>128</v>
      </c>
      <c r="S48" s="11">
        <f t="shared" si="6"/>
        <v>4096</v>
      </c>
      <c r="T48" s="17">
        <v>217.27</v>
      </c>
      <c r="V48" s="35">
        <v>128</v>
      </c>
      <c r="W48" s="11">
        <v>128</v>
      </c>
      <c r="X48" s="11">
        <f t="shared" si="7"/>
        <v>5120</v>
      </c>
      <c r="Y48" s="17">
        <v>208.97</v>
      </c>
      <c r="AA48" s="35">
        <v>128</v>
      </c>
      <c r="AB48" s="11">
        <v>128</v>
      </c>
      <c r="AC48" s="11">
        <f t="shared" si="8"/>
        <v>6144</v>
      </c>
      <c r="AD48" s="17">
        <v>206.6</v>
      </c>
      <c r="AF48" s="35">
        <v>128</v>
      </c>
      <c r="AG48" s="11">
        <v>128</v>
      </c>
      <c r="AH48" s="11">
        <v>7168</v>
      </c>
      <c r="AI48" s="64">
        <v>203.57</v>
      </c>
      <c r="AJ48" s="86"/>
      <c r="AK48" s="78">
        <v>128</v>
      </c>
      <c r="AL48" s="11">
        <v>128</v>
      </c>
      <c r="AM48" s="11">
        <v>8192</v>
      </c>
      <c r="AN48" s="17">
        <v>199.92</v>
      </c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</row>
    <row r="49" spans="2:62" ht="16.5" customHeight="1" x14ac:dyDescent="0.35">
      <c r="B49" s="35">
        <v>256</v>
      </c>
      <c r="C49" s="11">
        <v>128</v>
      </c>
      <c r="D49" s="11">
        <f t="shared" si="9"/>
        <v>1024</v>
      </c>
      <c r="E49" s="17">
        <v>221.17</v>
      </c>
      <c r="G49" s="35">
        <v>256</v>
      </c>
      <c r="H49" s="11">
        <v>128</v>
      </c>
      <c r="I49" s="11">
        <f t="shared" si="10"/>
        <v>2048</v>
      </c>
      <c r="J49" s="17">
        <v>205.94</v>
      </c>
      <c r="L49" s="35">
        <v>256</v>
      </c>
      <c r="M49" s="11">
        <v>128</v>
      </c>
      <c r="N49" s="11">
        <f t="shared" si="5"/>
        <v>3072</v>
      </c>
      <c r="O49" s="17">
        <v>223.43</v>
      </c>
      <c r="Q49" s="35">
        <v>256</v>
      </c>
      <c r="R49" s="11">
        <v>128</v>
      </c>
      <c r="S49" s="11">
        <f t="shared" si="6"/>
        <v>4096</v>
      </c>
      <c r="T49" s="17">
        <v>217.91</v>
      </c>
      <c r="V49" s="35">
        <v>256</v>
      </c>
      <c r="W49" s="11">
        <v>128</v>
      </c>
      <c r="X49" s="11">
        <f t="shared" si="7"/>
        <v>5120</v>
      </c>
      <c r="Y49" s="17">
        <v>213.48</v>
      </c>
      <c r="AA49" s="35">
        <v>256</v>
      </c>
      <c r="AB49" s="11">
        <v>128</v>
      </c>
      <c r="AC49" s="11">
        <f t="shared" si="8"/>
        <v>6144</v>
      </c>
      <c r="AD49" s="17">
        <v>207.08</v>
      </c>
      <c r="AF49" s="35">
        <v>256</v>
      </c>
      <c r="AG49" s="11">
        <v>128</v>
      </c>
      <c r="AH49" s="11">
        <v>7168</v>
      </c>
      <c r="AI49" s="64">
        <v>204.48</v>
      </c>
      <c r="AJ49" s="86"/>
      <c r="AK49" s="78">
        <v>256</v>
      </c>
      <c r="AL49" s="11">
        <v>128</v>
      </c>
      <c r="AM49" s="11">
        <v>8192</v>
      </c>
      <c r="AN49" s="17">
        <v>200.92</v>
      </c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</row>
    <row r="50" spans="2:62" ht="16.5" customHeight="1" x14ac:dyDescent="0.35">
      <c r="B50" s="35">
        <v>512</v>
      </c>
      <c r="C50" s="11">
        <v>128</v>
      </c>
      <c r="D50" s="11">
        <f t="shared" si="9"/>
        <v>1024</v>
      </c>
      <c r="E50" s="17">
        <v>221.94</v>
      </c>
      <c r="G50" s="35">
        <v>512</v>
      </c>
      <c r="H50" s="11">
        <v>128</v>
      </c>
      <c r="I50" s="11">
        <f t="shared" si="10"/>
        <v>2048</v>
      </c>
      <c r="J50" s="17">
        <v>205.48</v>
      </c>
      <c r="L50" s="35">
        <v>512</v>
      </c>
      <c r="M50" s="11">
        <v>128</v>
      </c>
      <c r="N50" s="11">
        <f t="shared" si="5"/>
        <v>3072</v>
      </c>
      <c r="O50" s="17">
        <v>223.8</v>
      </c>
      <c r="Q50" s="35">
        <v>512</v>
      </c>
      <c r="R50" s="11">
        <v>128</v>
      </c>
      <c r="S50" s="11">
        <f t="shared" si="6"/>
        <v>4096</v>
      </c>
      <c r="T50" s="17">
        <v>218.3</v>
      </c>
      <c r="V50" s="35">
        <v>512</v>
      </c>
      <c r="W50" s="11">
        <v>128</v>
      </c>
      <c r="X50" s="11">
        <f t="shared" si="7"/>
        <v>5120</v>
      </c>
      <c r="Y50" s="17">
        <v>213.52</v>
      </c>
      <c r="AA50" s="35">
        <v>512</v>
      </c>
      <c r="AB50" s="11">
        <v>128</v>
      </c>
      <c r="AC50" s="11">
        <f t="shared" si="8"/>
        <v>6144</v>
      </c>
      <c r="AD50" s="17">
        <v>207.29</v>
      </c>
      <c r="AF50" s="35">
        <v>512</v>
      </c>
      <c r="AG50" s="11">
        <v>128</v>
      </c>
      <c r="AH50" s="11">
        <v>7168</v>
      </c>
      <c r="AI50" s="64">
        <v>205.43</v>
      </c>
      <c r="AJ50" s="86"/>
      <c r="AK50" s="78">
        <v>512</v>
      </c>
      <c r="AL50" s="11">
        <v>128</v>
      </c>
      <c r="AM50" s="11">
        <v>8192</v>
      </c>
      <c r="AN50" s="17">
        <v>200.84</v>
      </c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</row>
    <row r="51" spans="2:62" ht="16.5" customHeight="1" x14ac:dyDescent="0.35">
      <c r="B51" s="34">
        <v>32</v>
      </c>
      <c r="C51" s="44">
        <v>160</v>
      </c>
      <c r="D51" s="44">
        <f t="shared" si="9"/>
        <v>1280</v>
      </c>
      <c r="E51" s="16">
        <v>184.29</v>
      </c>
      <c r="G51" s="34">
        <v>32</v>
      </c>
      <c r="H51" s="44">
        <v>160</v>
      </c>
      <c r="I51" s="44">
        <f t="shared" si="10"/>
        <v>2560</v>
      </c>
      <c r="J51" s="16">
        <v>153.9</v>
      </c>
      <c r="L51" s="34">
        <v>32</v>
      </c>
      <c r="M51" s="44">
        <v>160</v>
      </c>
      <c r="N51" s="44">
        <f t="shared" si="5"/>
        <v>3840</v>
      </c>
      <c r="O51" s="16">
        <v>174.01</v>
      </c>
      <c r="Q51" s="34">
        <v>32</v>
      </c>
      <c r="R51" s="44">
        <v>160</v>
      </c>
      <c r="S51" s="44">
        <f t="shared" si="6"/>
        <v>5120</v>
      </c>
      <c r="T51" s="16">
        <v>108.5</v>
      </c>
      <c r="V51" s="34">
        <v>32</v>
      </c>
      <c r="W51" s="44">
        <v>160</v>
      </c>
      <c r="X51" s="44">
        <f t="shared" si="7"/>
        <v>6400</v>
      </c>
      <c r="Y51" s="16">
        <v>174.37</v>
      </c>
      <c r="AA51" s="34">
        <v>32</v>
      </c>
      <c r="AB51" s="44">
        <v>160</v>
      </c>
      <c r="AC51" s="44">
        <f t="shared" si="8"/>
        <v>7680</v>
      </c>
      <c r="AD51" s="16">
        <v>143.49</v>
      </c>
      <c r="AF51" s="34">
        <v>32</v>
      </c>
      <c r="AG51" s="44">
        <v>160</v>
      </c>
      <c r="AH51" s="11">
        <f t="shared" ref="AH51:AH68" si="11">D51*7</f>
        <v>8960</v>
      </c>
      <c r="AI51" s="62">
        <v>171.28</v>
      </c>
      <c r="AJ51" s="86"/>
      <c r="AK51" s="77">
        <v>32</v>
      </c>
      <c r="AL51" s="44">
        <v>160</v>
      </c>
      <c r="AM51" s="11">
        <f t="shared" ref="AM51:AM68" si="12">D51*8</f>
        <v>10240</v>
      </c>
      <c r="AN51" s="16">
        <v>103.06</v>
      </c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</row>
    <row r="52" spans="2:62" ht="16.5" customHeight="1" x14ac:dyDescent="0.35">
      <c r="B52" s="35">
        <v>64</v>
      </c>
      <c r="C52" s="11">
        <v>160</v>
      </c>
      <c r="D52" s="11">
        <f t="shared" si="9"/>
        <v>1280</v>
      </c>
      <c r="E52" s="17">
        <v>185.63</v>
      </c>
      <c r="G52" s="35">
        <v>64</v>
      </c>
      <c r="H52" s="11">
        <v>160</v>
      </c>
      <c r="I52" s="11">
        <f t="shared" si="10"/>
        <v>2560</v>
      </c>
      <c r="J52" s="17">
        <v>153.53</v>
      </c>
      <c r="L52" s="35">
        <v>64</v>
      </c>
      <c r="M52" s="11">
        <v>160</v>
      </c>
      <c r="N52" s="11">
        <f t="shared" si="5"/>
        <v>3840</v>
      </c>
      <c r="O52" s="17">
        <v>179.54</v>
      </c>
      <c r="Q52" s="35">
        <v>64</v>
      </c>
      <c r="R52" s="11">
        <v>160</v>
      </c>
      <c r="S52" s="11">
        <f t="shared" si="6"/>
        <v>5120</v>
      </c>
      <c r="T52" s="17">
        <v>109.87</v>
      </c>
      <c r="V52" s="35">
        <v>64</v>
      </c>
      <c r="W52" s="11">
        <v>160</v>
      </c>
      <c r="X52" s="11">
        <f t="shared" si="7"/>
        <v>6400</v>
      </c>
      <c r="Y52" s="17">
        <v>181.39</v>
      </c>
      <c r="AA52" s="35">
        <v>64</v>
      </c>
      <c r="AB52" s="11">
        <v>160</v>
      </c>
      <c r="AC52" s="11">
        <f t="shared" si="8"/>
        <v>7680</v>
      </c>
      <c r="AD52" s="17">
        <v>143.74</v>
      </c>
      <c r="AF52" s="35">
        <v>64</v>
      </c>
      <c r="AG52" s="11">
        <v>160</v>
      </c>
      <c r="AH52" s="11">
        <f t="shared" si="11"/>
        <v>8960</v>
      </c>
      <c r="AI52" s="64">
        <v>179.48</v>
      </c>
      <c r="AJ52" s="86"/>
      <c r="AK52" s="78">
        <v>64</v>
      </c>
      <c r="AL52" s="11">
        <v>160</v>
      </c>
      <c r="AM52" s="11">
        <f t="shared" si="12"/>
        <v>10240</v>
      </c>
      <c r="AN52" s="17">
        <v>102.59</v>
      </c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</row>
    <row r="53" spans="2:62" ht="16.5" customHeight="1" x14ac:dyDescent="0.35">
      <c r="B53" s="35">
        <v>96</v>
      </c>
      <c r="C53" s="11">
        <v>160</v>
      </c>
      <c r="D53" s="11">
        <f t="shared" si="9"/>
        <v>1280</v>
      </c>
      <c r="E53" s="17">
        <v>188.6</v>
      </c>
      <c r="G53" s="35">
        <v>96</v>
      </c>
      <c r="H53" s="11">
        <v>160</v>
      </c>
      <c r="I53" s="11">
        <f t="shared" si="10"/>
        <v>2560</v>
      </c>
      <c r="J53" s="17">
        <v>151.63999999999999</v>
      </c>
      <c r="L53" s="35">
        <v>96</v>
      </c>
      <c r="M53" s="11">
        <v>160</v>
      </c>
      <c r="N53" s="11">
        <f t="shared" si="5"/>
        <v>3840</v>
      </c>
      <c r="O53" s="17">
        <v>181.5</v>
      </c>
      <c r="Q53" s="35">
        <v>96</v>
      </c>
      <c r="R53" s="11">
        <v>160</v>
      </c>
      <c r="S53" s="11">
        <f t="shared" si="6"/>
        <v>5120</v>
      </c>
      <c r="T53" s="17">
        <v>109.64</v>
      </c>
      <c r="V53" s="35">
        <v>96</v>
      </c>
      <c r="W53" s="11">
        <v>160</v>
      </c>
      <c r="X53" s="11">
        <f t="shared" si="7"/>
        <v>6400</v>
      </c>
      <c r="Y53" s="17">
        <v>179.4</v>
      </c>
      <c r="AA53" s="35">
        <v>96</v>
      </c>
      <c r="AB53" s="11">
        <v>160</v>
      </c>
      <c r="AC53" s="11">
        <f t="shared" si="8"/>
        <v>7680</v>
      </c>
      <c r="AD53" s="17">
        <v>143.81</v>
      </c>
      <c r="AF53" s="35">
        <v>96</v>
      </c>
      <c r="AG53" s="11">
        <v>160</v>
      </c>
      <c r="AH53" s="11">
        <f t="shared" si="11"/>
        <v>8960</v>
      </c>
      <c r="AI53" s="64">
        <v>182.21</v>
      </c>
      <c r="AJ53" s="86"/>
      <c r="AK53" s="78">
        <v>96</v>
      </c>
      <c r="AL53" s="11">
        <v>160</v>
      </c>
      <c r="AM53" s="11">
        <f t="shared" si="12"/>
        <v>10240</v>
      </c>
      <c r="AN53" s="17">
        <v>103.5</v>
      </c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</row>
    <row r="54" spans="2:62" ht="16.5" customHeight="1" x14ac:dyDescent="0.35">
      <c r="B54" s="35">
        <v>128</v>
      </c>
      <c r="C54" s="11">
        <v>160</v>
      </c>
      <c r="D54" s="11">
        <f t="shared" si="9"/>
        <v>1280</v>
      </c>
      <c r="E54" s="17">
        <v>188.88</v>
      </c>
      <c r="G54" s="35">
        <v>128</v>
      </c>
      <c r="H54" s="11">
        <v>160</v>
      </c>
      <c r="I54" s="11">
        <f t="shared" si="10"/>
        <v>2560</v>
      </c>
      <c r="J54" s="17">
        <v>154.22</v>
      </c>
      <c r="L54" s="35">
        <v>128</v>
      </c>
      <c r="M54" s="11">
        <v>160</v>
      </c>
      <c r="N54" s="11">
        <f t="shared" si="5"/>
        <v>3840</v>
      </c>
      <c r="O54" s="17">
        <v>180.48</v>
      </c>
      <c r="Q54" s="35">
        <v>128</v>
      </c>
      <c r="R54" s="11">
        <v>160</v>
      </c>
      <c r="S54" s="11">
        <f t="shared" si="6"/>
        <v>5120</v>
      </c>
      <c r="T54" s="17">
        <v>109.07</v>
      </c>
      <c r="V54" s="35">
        <v>128</v>
      </c>
      <c r="W54" s="11">
        <v>160</v>
      </c>
      <c r="X54" s="11">
        <f t="shared" si="7"/>
        <v>6400</v>
      </c>
      <c r="Y54" s="17">
        <v>182.28</v>
      </c>
      <c r="AA54" s="35">
        <v>128</v>
      </c>
      <c r="AB54" s="11">
        <v>160</v>
      </c>
      <c r="AC54" s="11">
        <f t="shared" si="8"/>
        <v>7680</v>
      </c>
      <c r="AD54" s="17">
        <v>143.56</v>
      </c>
      <c r="AF54" s="35">
        <v>128</v>
      </c>
      <c r="AG54" s="11">
        <v>160</v>
      </c>
      <c r="AH54" s="11">
        <f t="shared" si="11"/>
        <v>8960</v>
      </c>
      <c r="AI54" s="64">
        <v>181.56</v>
      </c>
      <c r="AJ54" s="86"/>
      <c r="AK54" s="78">
        <v>128</v>
      </c>
      <c r="AL54" s="11">
        <v>160</v>
      </c>
      <c r="AM54" s="11">
        <f t="shared" si="12"/>
        <v>10240</v>
      </c>
      <c r="AN54" s="17">
        <v>103.57</v>
      </c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</row>
    <row r="55" spans="2:62" ht="16.5" customHeight="1" x14ac:dyDescent="0.35">
      <c r="B55" s="35">
        <v>256</v>
      </c>
      <c r="C55" s="11">
        <v>160</v>
      </c>
      <c r="D55" s="11">
        <f t="shared" si="9"/>
        <v>1280</v>
      </c>
      <c r="E55" s="17">
        <v>182.12</v>
      </c>
      <c r="G55" s="35">
        <v>256</v>
      </c>
      <c r="H55" s="11">
        <v>160</v>
      </c>
      <c r="I55" s="11">
        <f t="shared" si="10"/>
        <v>2560</v>
      </c>
      <c r="J55" s="17">
        <v>153.08000000000001</v>
      </c>
      <c r="L55" s="35">
        <v>256</v>
      </c>
      <c r="M55" s="11">
        <v>160</v>
      </c>
      <c r="N55" s="11">
        <f t="shared" si="5"/>
        <v>3840</v>
      </c>
      <c r="O55" s="17">
        <v>182.62</v>
      </c>
      <c r="Q55" s="35">
        <v>256</v>
      </c>
      <c r="R55" s="11">
        <v>160</v>
      </c>
      <c r="S55" s="11">
        <f t="shared" si="6"/>
        <v>5120</v>
      </c>
      <c r="T55" s="17">
        <v>109.68</v>
      </c>
      <c r="V55" s="35">
        <v>256</v>
      </c>
      <c r="W55" s="11">
        <v>160</v>
      </c>
      <c r="X55" s="11">
        <f t="shared" si="7"/>
        <v>6400</v>
      </c>
      <c r="Y55" s="17">
        <v>180.96</v>
      </c>
      <c r="AA55" s="35">
        <v>256</v>
      </c>
      <c r="AB55" s="11">
        <v>160</v>
      </c>
      <c r="AC55" s="11">
        <f t="shared" si="8"/>
        <v>7680</v>
      </c>
      <c r="AD55" s="17">
        <v>143.82</v>
      </c>
      <c r="AF55" s="35">
        <v>256</v>
      </c>
      <c r="AG55" s="11">
        <v>160</v>
      </c>
      <c r="AH55" s="11">
        <f t="shared" si="11"/>
        <v>8960</v>
      </c>
      <c r="AI55" s="64">
        <v>181.22</v>
      </c>
      <c r="AJ55" s="86"/>
      <c r="AK55" s="78">
        <v>256</v>
      </c>
      <c r="AL55" s="11">
        <v>160</v>
      </c>
      <c r="AM55" s="11">
        <f t="shared" si="12"/>
        <v>10240</v>
      </c>
      <c r="AN55" s="17">
        <v>103.34</v>
      </c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</row>
    <row r="56" spans="2:62" ht="16.5" customHeight="1" x14ac:dyDescent="0.35">
      <c r="B56" s="35">
        <v>512</v>
      </c>
      <c r="C56" s="11">
        <v>160</v>
      </c>
      <c r="D56" s="11">
        <f t="shared" si="9"/>
        <v>1280</v>
      </c>
      <c r="E56" s="17">
        <v>186.71</v>
      </c>
      <c r="G56" s="35">
        <v>512</v>
      </c>
      <c r="H56" s="11">
        <v>160</v>
      </c>
      <c r="I56" s="11">
        <f t="shared" si="10"/>
        <v>2560</v>
      </c>
      <c r="J56" s="17">
        <v>153.78</v>
      </c>
      <c r="L56" s="35">
        <v>512</v>
      </c>
      <c r="M56" s="11">
        <v>160</v>
      </c>
      <c r="N56" s="11">
        <f t="shared" si="5"/>
        <v>3840</v>
      </c>
      <c r="O56" s="17">
        <v>182.62</v>
      </c>
      <c r="Q56" s="35">
        <v>512</v>
      </c>
      <c r="R56" s="11">
        <v>160</v>
      </c>
      <c r="S56" s="11">
        <f t="shared" si="6"/>
        <v>5120</v>
      </c>
      <c r="T56" s="17">
        <v>109.27</v>
      </c>
      <c r="V56" s="35">
        <v>512</v>
      </c>
      <c r="W56" s="11">
        <v>160</v>
      </c>
      <c r="X56" s="11">
        <f t="shared" si="7"/>
        <v>6400</v>
      </c>
      <c r="Y56" s="17">
        <v>182.98</v>
      </c>
      <c r="AA56" s="35">
        <v>512</v>
      </c>
      <c r="AB56" s="11">
        <v>160</v>
      </c>
      <c r="AC56" s="11">
        <f t="shared" si="8"/>
        <v>7680</v>
      </c>
      <c r="AD56" s="17">
        <v>143.03</v>
      </c>
      <c r="AF56" s="35">
        <v>512</v>
      </c>
      <c r="AG56" s="11">
        <v>160</v>
      </c>
      <c r="AH56" s="11">
        <f t="shared" si="11"/>
        <v>8960</v>
      </c>
      <c r="AI56" s="64">
        <v>170.06</v>
      </c>
      <c r="AJ56" s="86"/>
      <c r="AK56" s="78">
        <v>512</v>
      </c>
      <c r="AL56" s="11">
        <v>160</v>
      </c>
      <c r="AM56" s="11">
        <f t="shared" si="12"/>
        <v>10240</v>
      </c>
      <c r="AN56" s="17">
        <v>109.02</v>
      </c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</row>
    <row r="57" spans="2:62" ht="16.5" customHeight="1" x14ac:dyDescent="0.35">
      <c r="B57" s="34">
        <v>32</v>
      </c>
      <c r="C57" s="44">
        <v>192</v>
      </c>
      <c r="D57" s="44">
        <f t="shared" si="9"/>
        <v>1536</v>
      </c>
      <c r="E57" s="16">
        <v>228.25</v>
      </c>
      <c r="G57" s="34">
        <v>32</v>
      </c>
      <c r="H57" s="44">
        <v>192</v>
      </c>
      <c r="I57" s="44">
        <f t="shared" si="10"/>
        <v>3072</v>
      </c>
      <c r="J57" s="16">
        <v>201.36</v>
      </c>
      <c r="L57" s="34">
        <v>32</v>
      </c>
      <c r="M57" s="44">
        <v>192</v>
      </c>
      <c r="N57" s="44">
        <f t="shared" si="5"/>
        <v>4608</v>
      </c>
      <c r="O57" s="16">
        <v>213.41</v>
      </c>
      <c r="Q57" s="34">
        <v>32</v>
      </c>
      <c r="R57" s="44">
        <v>192</v>
      </c>
      <c r="S57" s="44">
        <f t="shared" si="6"/>
        <v>6144</v>
      </c>
      <c r="T57" s="16">
        <v>179.98</v>
      </c>
      <c r="V57" s="34">
        <v>32</v>
      </c>
      <c r="W57" s="44">
        <v>192</v>
      </c>
      <c r="X57" s="44">
        <f t="shared" si="7"/>
        <v>7680</v>
      </c>
      <c r="Y57" s="16">
        <v>207.87</v>
      </c>
      <c r="AA57" s="34">
        <v>32</v>
      </c>
      <c r="AB57" s="44">
        <v>192</v>
      </c>
      <c r="AC57" s="44">
        <f t="shared" si="8"/>
        <v>9216</v>
      </c>
      <c r="AD57" s="16">
        <v>158.87</v>
      </c>
      <c r="AF57" s="34">
        <v>32</v>
      </c>
      <c r="AG57" s="44">
        <v>192</v>
      </c>
      <c r="AH57" s="11">
        <f t="shared" si="11"/>
        <v>10752</v>
      </c>
      <c r="AI57" s="62">
        <v>206.39</v>
      </c>
      <c r="AJ57" s="86"/>
      <c r="AK57" s="77">
        <v>32</v>
      </c>
      <c r="AL57" s="44">
        <v>192</v>
      </c>
      <c r="AM57" s="11">
        <f t="shared" si="12"/>
        <v>12288</v>
      </c>
      <c r="AN57" s="16">
        <v>169.21</v>
      </c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</row>
    <row r="58" spans="2:62" ht="16.5" customHeight="1" x14ac:dyDescent="0.35">
      <c r="B58" s="35">
        <v>64</v>
      </c>
      <c r="C58" s="11">
        <v>192</v>
      </c>
      <c r="D58" s="11">
        <f t="shared" si="9"/>
        <v>1536</v>
      </c>
      <c r="E58" s="17">
        <v>242.56</v>
      </c>
      <c r="G58" s="35">
        <v>64</v>
      </c>
      <c r="H58" s="11">
        <v>192</v>
      </c>
      <c r="I58" s="11">
        <f t="shared" si="10"/>
        <v>3072</v>
      </c>
      <c r="J58" s="17">
        <v>201.48</v>
      </c>
      <c r="L58" s="35">
        <v>64</v>
      </c>
      <c r="M58" s="11">
        <v>192</v>
      </c>
      <c r="N58" s="11">
        <f t="shared" si="5"/>
        <v>4608</v>
      </c>
      <c r="O58" s="17">
        <v>220</v>
      </c>
      <c r="Q58" s="35">
        <v>64</v>
      </c>
      <c r="R58" s="11">
        <v>192</v>
      </c>
      <c r="S58" s="11">
        <f t="shared" si="6"/>
        <v>6144</v>
      </c>
      <c r="T58" s="17">
        <v>177.95</v>
      </c>
      <c r="V58" s="35">
        <v>64</v>
      </c>
      <c r="W58" s="11">
        <v>192</v>
      </c>
      <c r="X58" s="11">
        <f t="shared" si="7"/>
        <v>7680</v>
      </c>
      <c r="Y58" s="17">
        <v>216.94</v>
      </c>
      <c r="AA58" s="35">
        <v>64</v>
      </c>
      <c r="AB58" s="11">
        <v>192</v>
      </c>
      <c r="AC58" s="11">
        <f t="shared" si="8"/>
        <v>9216</v>
      </c>
      <c r="AD58" s="17">
        <v>158.65</v>
      </c>
      <c r="AF58" s="35">
        <v>64</v>
      </c>
      <c r="AG58" s="11">
        <v>192</v>
      </c>
      <c r="AH58" s="11">
        <f t="shared" si="11"/>
        <v>10752</v>
      </c>
      <c r="AI58" s="64">
        <v>217.2</v>
      </c>
      <c r="AJ58" s="86"/>
      <c r="AK58" s="78">
        <v>64</v>
      </c>
      <c r="AL58" s="11">
        <v>192</v>
      </c>
      <c r="AM58" s="11">
        <f t="shared" si="12"/>
        <v>12288</v>
      </c>
      <c r="AN58" s="17">
        <v>170.02</v>
      </c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</row>
    <row r="59" spans="2:62" ht="16.5" customHeight="1" x14ac:dyDescent="0.35">
      <c r="B59" s="35">
        <v>96</v>
      </c>
      <c r="C59" s="11">
        <v>192</v>
      </c>
      <c r="D59" s="11">
        <f t="shared" si="9"/>
        <v>1536</v>
      </c>
      <c r="E59" s="17">
        <v>240.71</v>
      </c>
      <c r="G59" s="35">
        <v>96</v>
      </c>
      <c r="H59" s="11">
        <v>192</v>
      </c>
      <c r="I59" s="11">
        <f t="shared" si="10"/>
        <v>3072</v>
      </c>
      <c r="J59" s="17">
        <v>200.8</v>
      </c>
      <c r="L59" s="35">
        <v>96</v>
      </c>
      <c r="M59" s="11">
        <v>192</v>
      </c>
      <c r="N59" s="11">
        <f t="shared" si="5"/>
        <v>4608</v>
      </c>
      <c r="O59" s="17">
        <v>218.78</v>
      </c>
      <c r="Q59" s="35">
        <v>96</v>
      </c>
      <c r="R59" s="11">
        <v>192</v>
      </c>
      <c r="S59" s="11">
        <f t="shared" si="6"/>
        <v>6144</v>
      </c>
      <c r="T59" s="17">
        <v>179.58</v>
      </c>
      <c r="V59" s="35">
        <v>96</v>
      </c>
      <c r="W59" s="11">
        <v>192</v>
      </c>
      <c r="X59" s="11">
        <f t="shared" si="7"/>
        <v>7680</v>
      </c>
      <c r="Y59" s="17">
        <v>218.83</v>
      </c>
      <c r="AA59" s="35">
        <v>96</v>
      </c>
      <c r="AB59" s="11">
        <v>192</v>
      </c>
      <c r="AC59" s="11">
        <f t="shared" si="8"/>
        <v>9216</v>
      </c>
      <c r="AD59" s="17">
        <v>158.86000000000001</v>
      </c>
      <c r="AF59" s="35">
        <v>96</v>
      </c>
      <c r="AG59" s="11">
        <v>192</v>
      </c>
      <c r="AH59" s="11">
        <f t="shared" si="11"/>
        <v>10752</v>
      </c>
      <c r="AI59" s="64">
        <v>219.2</v>
      </c>
      <c r="AJ59" s="86"/>
      <c r="AK59" s="78">
        <v>96</v>
      </c>
      <c r="AL59" s="11">
        <v>192</v>
      </c>
      <c r="AM59" s="11">
        <f t="shared" si="12"/>
        <v>12288</v>
      </c>
      <c r="AN59" s="17">
        <v>169.66</v>
      </c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</row>
    <row r="60" spans="2:62" ht="16.5" customHeight="1" x14ac:dyDescent="0.35">
      <c r="B60" s="35">
        <v>128</v>
      </c>
      <c r="C60" s="11">
        <v>192</v>
      </c>
      <c r="D60" s="11">
        <f t="shared" si="9"/>
        <v>1536</v>
      </c>
      <c r="E60" s="17">
        <v>242.32</v>
      </c>
      <c r="G60" s="35">
        <v>128</v>
      </c>
      <c r="H60" s="11">
        <v>192</v>
      </c>
      <c r="I60" s="11">
        <f t="shared" si="10"/>
        <v>3072</v>
      </c>
      <c r="J60" s="17">
        <v>202.54</v>
      </c>
      <c r="L60" s="35">
        <v>128</v>
      </c>
      <c r="M60" s="11">
        <v>192</v>
      </c>
      <c r="N60" s="11">
        <f t="shared" si="5"/>
        <v>4608</v>
      </c>
      <c r="O60" s="17">
        <v>221.48</v>
      </c>
      <c r="Q60" s="35">
        <v>128</v>
      </c>
      <c r="R60" s="11">
        <v>192</v>
      </c>
      <c r="S60" s="11">
        <f t="shared" si="6"/>
        <v>6144</v>
      </c>
      <c r="T60" s="17">
        <v>178.5</v>
      </c>
      <c r="V60" s="35">
        <v>128</v>
      </c>
      <c r="W60" s="11">
        <v>192</v>
      </c>
      <c r="X60" s="11">
        <f t="shared" si="7"/>
        <v>7680</v>
      </c>
      <c r="Y60" s="17">
        <v>218.88</v>
      </c>
      <c r="AA60" s="35">
        <v>128</v>
      </c>
      <c r="AB60" s="11">
        <v>192</v>
      </c>
      <c r="AC60" s="11">
        <f t="shared" si="8"/>
        <v>9216</v>
      </c>
      <c r="AD60" s="17">
        <v>164.62</v>
      </c>
      <c r="AF60" s="35">
        <v>128</v>
      </c>
      <c r="AG60" s="11">
        <v>192</v>
      </c>
      <c r="AH60" s="11">
        <f t="shared" si="11"/>
        <v>10752</v>
      </c>
      <c r="AI60" s="64">
        <v>219.85</v>
      </c>
      <c r="AJ60" s="86"/>
      <c r="AK60" s="78">
        <v>128</v>
      </c>
      <c r="AL60" s="11">
        <v>192</v>
      </c>
      <c r="AM60" s="11">
        <f t="shared" si="12"/>
        <v>12288</v>
      </c>
      <c r="AN60" s="17">
        <v>170.95</v>
      </c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</row>
    <row r="61" spans="2:62" ht="16.5" customHeight="1" x14ac:dyDescent="0.35">
      <c r="B61" s="35">
        <v>256</v>
      </c>
      <c r="C61" s="11">
        <v>192</v>
      </c>
      <c r="D61" s="11">
        <f t="shared" si="9"/>
        <v>1536</v>
      </c>
      <c r="E61" s="17">
        <v>242.25</v>
      </c>
      <c r="G61" s="35">
        <v>256</v>
      </c>
      <c r="H61" s="11">
        <v>192</v>
      </c>
      <c r="I61" s="11">
        <f t="shared" si="10"/>
        <v>3072</v>
      </c>
      <c r="J61" s="17">
        <v>200.55</v>
      </c>
      <c r="L61" s="35">
        <v>256</v>
      </c>
      <c r="M61" s="11">
        <v>192</v>
      </c>
      <c r="N61" s="11">
        <f t="shared" si="5"/>
        <v>4608</v>
      </c>
      <c r="O61" s="17">
        <v>220.22</v>
      </c>
      <c r="Q61" s="35">
        <v>256</v>
      </c>
      <c r="R61" s="11">
        <v>192</v>
      </c>
      <c r="S61" s="11">
        <f t="shared" si="6"/>
        <v>6144</v>
      </c>
      <c r="T61" s="17">
        <v>178.68</v>
      </c>
      <c r="V61" s="35">
        <v>256</v>
      </c>
      <c r="W61" s="11">
        <v>192</v>
      </c>
      <c r="X61" s="11">
        <f t="shared" si="7"/>
        <v>7680</v>
      </c>
      <c r="Y61" s="17">
        <v>220.73</v>
      </c>
      <c r="AA61" s="35">
        <v>256</v>
      </c>
      <c r="AB61" s="11">
        <v>192</v>
      </c>
      <c r="AC61" s="11">
        <f t="shared" si="8"/>
        <v>9216</v>
      </c>
      <c r="AD61" s="17">
        <v>166.48</v>
      </c>
      <c r="AF61" s="35">
        <v>256</v>
      </c>
      <c r="AG61" s="11">
        <v>192</v>
      </c>
      <c r="AH61" s="11">
        <f t="shared" si="11"/>
        <v>10752</v>
      </c>
      <c r="AI61" s="64">
        <v>219.75</v>
      </c>
      <c r="AJ61" s="86"/>
      <c r="AK61" s="78">
        <v>256</v>
      </c>
      <c r="AL61" s="11">
        <v>192</v>
      </c>
      <c r="AM61" s="11">
        <f t="shared" si="12"/>
        <v>12288</v>
      </c>
      <c r="AN61" s="17">
        <v>170.38</v>
      </c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</row>
    <row r="62" spans="2:62" ht="16.5" customHeight="1" x14ac:dyDescent="0.35">
      <c r="B62" s="35">
        <v>512</v>
      </c>
      <c r="C62" s="11">
        <v>192</v>
      </c>
      <c r="D62" s="11">
        <f t="shared" si="9"/>
        <v>1536</v>
      </c>
      <c r="E62" s="17">
        <v>244.01</v>
      </c>
      <c r="G62" s="35">
        <v>512</v>
      </c>
      <c r="H62" s="11">
        <v>192</v>
      </c>
      <c r="I62" s="11">
        <f t="shared" si="10"/>
        <v>3072</v>
      </c>
      <c r="J62" s="17">
        <v>201.06</v>
      </c>
      <c r="L62" s="35">
        <v>512</v>
      </c>
      <c r="M62" s="11">
        <v>192</v>
      </c>
      <c r="N62" s="11">
        <f t="shared" si="5"/>
        <v>4608</v>
      </c>
      <c r="O62" s="17">
        <v>221.45</v>
      </c>
      <c r="Q62" s="35">
        <v>512</v>
      </c>
      <c r="R62" s="11">
        <v>192</v>
      </c>
      <c r="S62" s="11">
        <f t="shared" si="6"/>
        <v>6144</v>
      </c>
      <c r="T62" s="17">
        <v>178.49</v>
      </c>
      <c r="V62" s="35">
        <v>512</v>
      </c>
      <c r="W62" s="11">
        <v>192</v>
      </c>
      <c r="X62" s="11">
        <f t="shared" si="7"/>
        <v>7680</v>
      </c>
      <c r="Y62" s="17">
        <v>220.07</v>
      </c>
      <c r="AA62" s="35">
        <v>512</v>
      </c>
      <c r="AB62" s="11">
        <v>192</v>
      </c>
      <c r="AC62" s="11">
        <f t="shared" si="8"/>
        <v>9216</v>
      </c>
      <c r="AD62" s="17">
        <v>165.77</v>
      </c>
      <c r="AF62" s="35">
        <v>512</v>
      </c>
      <c r="AG62" s="11">
        <v>192</v>
      </c>
      <c r="AH62" s="11">
        <f t="shared" si="11"/>
        <v>10752</v>
      </c>
      <c r="AI62" s="64">
        <v>180.45</v>
      </c>
      <c r="AJ62" s="86"/>
      <c r="AK62" s="78">
        <v>512</v>
      </c>
      <c r="AL62" s="11">
        <v>192</v>
      </c>
      <c r="AM62" s="11">
        <f t="shared" si="12"/>
        <v>12288</v>
      </c>
      <c r="AN62" s="17">
        <v>158.38</v>
      </c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</row>
    <row r="63" spans="2:62" ht="16.5" customHeight="1" x14ac:dyDescent="0.35">
      <c r="B63" s="34">
        <v>32</v>
      </c>
      <c r="C63" s="44">
        <v>224</v>
      </c>
      <c r="D63" s="44">
        <f t="shared" si="9"/>
        <v>1792</v>
      </c>
      <c r="E63" s="16">
        <v>206.03</v>
      </c>
      <c r="G63" s="34">
        <v>32</v>
      </c>
      <c r="H63" s="44">
        <f t="shared" ref="H63:H68" si="13">C63</f>
        <v>224</v>
      </c>
      <c r="I63" s="44">
        <f t="shared" si="10"/>
        <v>3584</v>
      </c>
      <c r="J63" s="16">
        <v>154.46</v>
      </c>
      <c r="L63" s="34">
        <v>32</v>
      </c>
      <c r="M63" s="44">
        <f>C63</f>
        <v>224</v>
      </c>
      <c r="N63" s="44">
        <f t="shared" si="5"/>
        <v>5376</v>
      </c>
      <c r="O63" s="16">
        <v>190.1</v>
      </c>
      <c r="Q63" s="34">
        <v>32</v>
      </c>
      <c r="R63" s="44">
        <f>C63</f>
        <v>224</v>
      </c>
      <c r="S63" s="44">
        <f t="shared" si="6"/>
        <v>7168</v>
      </c>
      <c r="T63" s="16">
        <v>143.81</v>
      </c>
      <c r="V63" s="34">
        <v>32</v>
      </c>
      <c r="W63" s="44">
        <f>C63</f>
        <v>224</v>
      </c>
      <c r="X63" s="44">
        <f t="shared" si="7"/>
        <v>8960</v>
      </c>
      <c r="Y63" s="16">
        <v>186.85</v>
      </c>
      <c r="AA63" s="34">
        <v>32</v>
      </c>
      <c r="AB63" s="44">
        <f>C63</f>
        <v>224</v>
      </c>
      <c r="AC63" s="44">
        <f t="shared" si="8"/>
        <v>10752</v>
      </c>
      <c r="AD63" s="16">
        <v>153.12</v>
      </c>
      <c r="AF63" s="34">
        <v>32</v>
      </c>
      <c r="AG63" s="44">
        <f>C63</f>
        <v>224</v>
      </c>
      <c r="AH63" s="11">
        <f t="shared" si="11"/>
        <v>12544</v>
      </c>
      <c r="AI63" s="62">
        <v>186.92</v>
      </c>
      <c r="AJ63" s="86"/>
      <c r="AK63" s="77">
        <v>32</v>
      </c>
      <c r="AL63" s="44">
        <f>C63</f>
        <v>224</v>
      </c>
      <c r="AM63" s="11">
        <f t="shared" si="12"/>
        <v>14336</v>
      </c>
      <c r="AN63" s="16">
        <v>135.87</v>
      </c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</row>
    <row r="64" spans="2:62" ht="16.5" customHeight="1" x14ac:dyDescent="0.35">
      <c r="B64" s="35">
        <v>64</v>
      </c>
      <c r="C64" s="11">
        <v>224</v>
      </c>
      <c r="D64" s="11">
        <f t="shared" si="9"/>
        <v>1792</v>
      </c>
      <c r="E64" s="17">
        <v>203.95</v>
      </c>
      <c r="G64" s="35">
        <v>64</v>
      </c>
      <c r="H64" s="11">
        <f t="shared" si="13"/>
        <v>224</v>
      </c>
      <c r="I64" s="11">
        <f t="shared" si="10"/>
        <v>3584</v>
      </c>
      <c r="J64" s="17">
        <v>156.22999999999999</v>
      </c>
      <c r="L64" s="35">
        <v>64</v>
      </c>
      <c r="M64" s="11">
        <f>C63</f>
        <v>224</v>
      </c>
      <c r="N64" s="11">
        <f t="shared" si="5"/>
        <v>5376</v>
      </c>
      <c r="O64" s="17">
        <v>191.87</v>
      </c>
      <c r="Q64" s="35">
        <v>64</v>
      </c>
      <c r="R64" s="11">
        <f>C63</f>
        <v>224</v>
      </c>
      <c r="S64" s="11">
        <f t="shared" si="6"/>
        <v>7168</v>
      </c>
      <c r="T64" s="17">
        <v>141.75</v>
      </c>
      <c r="V64" s="35">
        <v>64</v>
      </c>
      <c r="W64" s="11">
        <f>C63</f>
        <v>224</v>
      </c>
      <c r="X64" s="11">
        <f t="shared" si="7"/>
        <v>8960</v>
      </c>
      <c r="Y64" s="17">
        <v>191.51</v>
      </c>
      <c r="AA64" s="35">
        <v>64</v>
      </c>
      <c r="AB64" s="11">
        <f>C63</f>
        <v>224</v>
      </c>
      <c r="AC64" s="11">
        <f t="shared" si="8"/>
        <v>10752</v>
      </c>
      <c r="AD64" s="17">
        <v>152.4</v>
      </c>
      <c r="AF64" s="35">
        <v>64</v>
      </c>
      <c r="AG64" s="11">
        <f>C63</f>
        <v>224</v>
      </c>
      <c r="AH64" s="11">
        <f t="shared" si="11"/>
        <v>12544</v>
      </c>
      <c r="AI64" s="64">
        <v>191.85</v>
      </c>
      <c r="AJ64" s="86"/>
      <c r="AK64" s="78">
        <v>64</v>
      </c>
      <c r="AL64" s="11">
        <f>C63</f>
        <v>224</v>
      </c>
      <c r="AM64" s="11">
        <f t="shared" si="12"/>
        <v>14336</v>
      </c>
      <c r="AN64" s="17">
        <v>136.69</v>
      </c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</row>
    <row r="65" spans="2:62" ht="16.5" customHeight="1" x14ac:dyDescent="0.35">
      <c r="B65" s="35">
        <v>96</v>
      </c>
      <c r="C65" s="11">
        <v>224</v>
      </c>
      <c r="D65" s="11">
        <f t="shared" si="9"/>
        <v>1792</v>
      </c>
      <c r="E65" s="17">
        <v>211.06</v>
      </c>
      <c r="G65" s="35">
        <v>96</v>
      </c>
      <c r="H65" s="11">
        <f t="shared" si="13"/>
        <v>224</v>
      </c>
      <c r="I65" s="11">
        <f t="shared" si="10"/>
        <v>3584</v>
      </c>
      <c r="J65" s="17">
        <v>155.66999999999999</v>
      </c>
      <c r="L65" s="35">
        <v>96</v>
      </c>
      <c r="M65" s="11">
        <f>C63</f>
        <v>224</v>
      </c>
      <c r="N65" s="11">
        <f t="shared" si="5"/>
        <v>5376</v>
      </c>
      <c r="O65" s="17">
        <v>188.67</v>
      </c>
      <c r="Q65" s="35">
        <v>96</v>
      </c>
      <c r="R65" s="11">
        <f>C63</f>
        <v>224</v>
      </c>
      <c r="S65" s="11">
        <f t="shared" si="6"/>
        <v>7168</v>
      </c>
      <c r="T65" s="17">
        <v>140.93</v>
      </c>
      <c r="V65" s="35">
        <v>96</v>
      </c>
      <c r="W65" s="11">
        <f>C63</f>
        <v>224</v>
      </c>
      <c r="X65" s="11">
        <f t="shared" si="7"/>
        <v>8960</v>
      </c>
      <c r="Y65" s="17">
        <v>192.11</v>
      </c>
      <c r="AA65" s="35">
        <v>96</v>
      </c>
      <c r="AB65" s="11">
        <f>C63</f>
        <v>224</v>
      </c>
      <c r="AC65" s="11">
        <f t="shared" si="8"/>
        <v>10752</v>
      </c>
      <c r="AD65" s="17">
        <v>153.72</v>
      </c>
      <c r="AF65" s="35">
        <v>96</v>
      </c>
      <c r="AG65" s="11">
        <f>C63</f>
        <v>224</v>
      </c>
      <c r="AH65" s="11">
        <f t="shared" si="11"/>
        <v>12544</v>
      </c>
      <c r="AI65" s="64">
        <v>191.95</v>
      </c>
      <c r="AJ65" s="86"/>
      <c r="AK65" s="78">
        <v>96</v>
      </c>
      <c r="AL65" s="11">
        <f>C63</f>
        <v>224</v>
      </c>
      <c r="AM65" s="11">
        <f t="shared" si="12"/>
        <v>14336</v>
      </c>
      <c r="AN65" s="17">
        <v>136.47</v>
      </c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</row>
    <row r="66" spans="2:62" ht="16.5" customHeight="1" x14ac:dyDescent="0.35">
      <c r="B66" s="35">
        <v>128</v>
      </c>
      <c r="C66" s="11">
        <v>224</v>
      </c>
      <c r="D66" s="11">
        <f t="shared" si="9"/>
        <v>1792</v>
      </c>
      <c r="E66" s="17">
        <v>195.93</v>
      </c>
      <c r="G66" s="35">
        <v>128</v>
      </c>
      <c r="H66" s="11">
        <f t="shared" si="13"/>
        <v>224</v>
      </c>
      <c r="I66" s="11">
        <f t="shared" si="10"/>
        <v>3584</v>
      </c>
      <c r="J66" s="17">
        <v>156.04</v>
      </c>
      <c r="L66" s="35">
        <v>128</v>
      </c>
      <c r="M66" s="11">
        <f>C63</f>
        <v>224</v>
      </c>
      <c r="N66" s="11">
        <f t="shared" si="5"/>
        <v>5376</v>
      </c>
      <c r="O66" s="17">
        <v>194.16</v>
      </c>
      <c r="Q66" s="35">
        <v>128</v>
      </c>
      <c r="R66" s="11">
        <f>C63</f>
        <v>224</v>
      </c>
      <c r="S66" s="11">
        <f t="shared" si="6"/>
        <v>7168</v>
      </c>
      <c r="T66" s="17">
        <v>142.58000000000001</v>
      </c>
      <c r="V66" s="35">
        <v>128</v>
      </c>
      <c r="W66" s="11">
        <f>C63</f>
        <v>224</v>
      </c>
      <c r="X66" s="11">
        <f t="shared" si="7"/>
        <v>8960</v>
      </c>
      <c r="Y66" s="17">
        <v>190.39</v>
      </c>
      <c r="AA66" s="35">
        <v>128</v>
      </c>
      <c r="AB66" s="11">
        <f>C63</f>
        <v>224</v>
      </c>
      <c r="AC66" s="11">
        <f t="shared" si="8"/>
        <v>10752</v>
      </c>
      <c r="AD66" s="17">
        <v>153.88999999999999</v>
      </c>
      <c r="AF66" s="35">
        <v>128</v>
      </c>
      <c r="AG66" s="11">
        <f>C63</f>
        <v>224</v>
      </c>
      <c r="AH66" s="11">
        <f t="shared" si="11"/>
        <v>12544</v>
      </c>
      <c r="AI66" s="64">
        <v>192.5</v>
      </c>
      <c r="AJ66" s="86"/>
      <c r="AK66" s="78">
        <v>128</v>
      </c>
      <c r="AL66" s="11">
        <f>C63</f>
        <v>224</v>
      </c>
      <c r="AM66" s="11">
        <f t="shared" si="12"/>
        <v>14336</v>
      </c>
      <c r="AN66" s="17">
        <v>136.38999999999999</v>
      </c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</row>
    <row r="67" spans="2:62" ht="16.5" customHeight="1" x14ac:dyDescent="0.35">
      <c r="B67" s="35">
        <v>256</v>
      </c>
      <c r="C67" s="11">
        <v>224</v>
      </c>
      <c r="D67" s="11">
        <f t="shared" si="9"/>
        <v>1792</v>
      </c>
      <c r="E67" s="17">
        <v>195.34</v>
      </c>
      <c r="G67" s="35">
        <v>256</v>
      </c>
      <c r="H67" s="11">
        <f t="shared" si="13"/>
        <v>224</v>
      </c>
      <c r="I67" s="11">
        <f t="shared" si="10"/>
        <v>3584</v>
      </c>
      <c r="J67" s="17">
        <v>157.13</v>
      </c>
      <c r="L67" s="35">
        <v>256</v>
      </c>
      <c r="M67" s="11">
        <f>C63</f>
        <v>224</v>
      </c>
      <c r="N67" s="11">
        <f t="shared" si="5"/>
        <v>5376</v>
      </c>
      <c r="O67" s="17">
        <v>190.71</v>
      </c>
      <c r="Q67" s="35">
        <v>256</v>
      </c>
      <c r="R67" s="11">
        <f>C63</f>
        <v>224</v>
      </c>
      <c r="S67" s="11">
        <f t="shared" si="6"/>
        <v>7168</v>
      </c>
      <c r="T67" s="17">
        <v>142.09</v>
      </c>
      <c r="V67" s="35">
        <v>256</v>
      </c>
      <c r="W67" s="11">
        <f>C63</f>
        <v>224</v>
      </c>
      <c r="X67" s="11">
        <f t="shared" si="7"/>
        <v>8960</v>
      </c>
      <c r="Y67" s="17">
        <v>192.59</v>
      </c>
      <c r="AA67" s="35">
        <v>256</v>
      </c>
      <c r="AB67" s="11">
        <f>C63</f>
        <v>224</v>
      </c>
      <c r="AC67" s="11">
        <f t="shared" si="8"/>
        <v>10752</v>
      </c>
      <c r="AD67" s="17">
        <v>153.88999999999999</v>
      </c>
      <c r="AF67" s="35">
        <v>256</v>
      </c>
      <c r="AG67" s="11">
        <f>C63</f>
        <v>224</v>
      </c>
      <c r="AH67" s="11">
        <f t="shared" si="11"/>
        <v>12544</v>
      </c>
      <c r="AI67" s="64">
        <v>191.76</v>
      </c>
      <c r="AJ67" s="86"/>
      <c r="AK67" s="78">
        <v>256</v>
      </c>
      <c r="AL67" s="11">
        <f>C63</f>
        <v>224</v>
      </c>
      <c r="AM67" s="11">
        <f t="shared" si="12"/>
        <v>14336</v>
      </c>
      <c r="AN67" s="17">
        <v>136.93</v>
      </c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</row>
    <row r="68" spans="2:62" ht="16.5" customHeight="1" x14ac:dyDescent="0.35">
      <c r="B68" s="35">
        <v>512</v>
      </c>
      <c r="C68" s="11">
        <v>224</v>
      </c>
      <c r="D68" s="11">
        <f t="shared" si="9"/>
        <v>1792</v>
      </c>
      <c r="E68" s="17">
        <v>202.23</v>
      </c>
      <c r="G68" s="35">
        <v>512</v>
      </c>
      <c r="H68" s="11">
        <f t="shared" si="13"/>
        <v>224</v>
      </c>
      <c r="I68" s="11">
        <f t="shared" si="10"/>
        <v>3584</v>
      </c>
      <c r="J68" s="17">
        <v>151.35</v>
      </c>
      <c r="L68" s="35">
        <v>512</v>
      </c>
      <c r="M68" s="11">
        <f>C63</f>
        <v>224</v>
      </c>
      <c r="N68" s="11">
        <f t="shared" si="5"/>
        <v>5376</v>
      </c>
      <c r="O68" s="17">
        <v>189.15</v>
      </c>
      <c r="Q68" s="35">
        <v>512</v>
      </c>
      <c r="R68" s="11">
        <f>C63</f>
        <v>224</v>
      </c>
      <c r="S68" s="11">
        <f t="shared" si="6"/>
        <v>7168</v>
      </c>
      <c r="T68" s="17">
        <v>141.81</v>
      </c>
      <c r="V68" s="35">
        <v>512</v>
      </c>
      <c r="W68" s="11">
        <f>C63</f>
        <v>224</v>
      </c>
      <c r="X68" s="11">
        <f t="shared" si="7"/>
        <v>8960</v>
      </c>
      <c r="Y68" s="17">
        <v>178.75</v>
      </c>
      <c r="AA68" s="35">
        <v>512</v>
      </c>
      <c r="AB68" s="11">
        <f>C63</f>
        <v>224</v>
      </c>
      <c r="AC68" s="11">
        <f t="shared" si="8"/>
        <v>10752</v>
      </c>
      <c r="AD68" s="17">
        <v>136.86000000000001</v>
      </c>
      <c r="AF68" s="35">
        <v>512</v>
      </c>
      <c r="AG68" s="11">
        <f>C63</f>
        <v>224</v>
      </c>
      <c r="AH68" s="11">
        <f t="shared" si="11"/>
        <v>12544</v>
      </c>
      <c r="AI68" s="64">
        <v>144.4</v>
      </c>
      <c r="AJ68" s="86"/>
      <c r="AK68" s="78">
        <v>512</v>
      </c>
      <c r="AL68" s="11">
        <f>C63</f>
        <v>224</v>
      </c>
      <c r="AM68" s="11">
        <f t="shared" si="12"/>
        <v>14336</v>
      </c>
      <c r="AN68" s="17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</row>
    <row r="69" spans="2:62" ht="16.5" customHeight="1" x14ac:dyDescent="0.35">
      <c r="B69" s="34">
        <v>32</v>
      </c>
      <c r="C69" s="44">
        <v>256</v>
      </c>
      <c r="D69" s="44">
        <f t="shared" si="9"/>
        <v>2048</v>
      </c>
      <c r="E69" s="16">
        <v>192.13</v>
      </c>
      <c r="G69" s="34">
        <v>32</v>
      </c>
      <c r="H69" s="44">
        <v>256</v>
      </c>
      <c r="I69" s="44">
        <f t="shared" si="10"/>
        <v>4096</v>
      </c>
      <c r="J69" s="16">
        <v>192.97</v>
      </c>
      <c r="L69" s="34">
        <v>32</v>
      </c>
      <c r="M69" s="44">
        <v>256</v>
      </c>
      <c r="N69" s="44">
        <f t="shared" ref="N69:N100" si="14">D69*3</f>
        <v>6144</v>
      </c>
      <c r="O69" s="16">
        <v>189.19</v>
      </c>
      <c r="Q69" s="34">
        <v>32</v>
      </c>
      <c r="R69" s="44">
        <v>256</v>
      </c>
      <c r="S69" s="44">
        <f t="shared" ref="S69:S100" si="15">D69*4</f>
        <v>8192</v>
      </c>
      <c r="T69" s="16">
        <v>189.41</v>
      </c>
      <c r="V69" s="34">
        <v>32</v>
      </c>
      <c r="W69" s="44">
        <v>256</v>
      </c>
      <c r="X69" s="44">
        <f t="shared" ref="X69:X100" si="16">D69*5</f>
        <v>10240</v>
      </c>
      <c r="Y69" s="16">
        <v>187.3</v>
      </c>
      <c r="AA69" s="34">
        <v>32</v>
      </c>
      <c r="AB69" s="44">
        <v>256</v>
      </c>
      <c r="AC69" s="44">
        <f t="shared" ref="AC69:AC100" si="17">D69*6</f>
        <v>12288</v>
      </c>
      <c r="AD69" s="16">
        <v>185.95</v>
      </c>
      <c r="AF69" s="34">
        <v>32</v>
      </c>
      <c r="AG69" s="44">
        <v>256</v>
      </c>
      <c r="AH69" s="11">
        <v>14336</v>
      </c>
      <c r="AI69" s="62">
        <v>186.48</v>
      </c>
      <c r="AJ69" s="86"/>
      <c r="AK69" s="77">
        <v>32</v>
      </c>
      <c r="AL69" s="44">
        <v>256</v>
      </c>
      <c r="AM69" s="11">
        <v>16384</v>
      </c>
      <c r="AN69" s="16">
        <v>181.77</v>
      </c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</row>
    <row r="70" spans="2:62" ht="16.5" customHeight="1" x14ac:dyDescent="0.35">
      <c r="B70" s="35">
        <v>64</v>
      </c>
      <c r="C70" s="11">
        <v>256</v>
      </c>
      <c r="D70" s="11">
        <f t="shared" si="9"/>
        <v>2048</v>
      </c>
      <c r="E70" s="17">
        <v>193.77</v>
      </c>
      <c r="G70" s="35">
        <v>64</v>
      </c>
      <c r="H70" s="11">
        <v>256</v>
      </c>
      <c r="I70" s="11">
        <f t="shared" si="10"/>
        <v>4096</v>
      </c>
      <c r="J70" s="17">
        <v>191.38</v>
      </c>
      <c r="L70" s="35">
        <v>64</v>
      </c>
      <c r="M70" s="11">
        <v>256</v>
      </c>
      <c r="N70" s="11">
        <f t="shared" si="14"/>
        <v>6144</v>
      </c>
      <c r="O70" s="17">
        <v>190.18</v>
      </c>
      <c r="Q70" s="35">
        <v>64</v>
      </c>
      <c r="R70" s="11">
        <v>256</v>
      </c>
      <c r="S70" s="11">
        <f t="shared" si="15"/>
        <v>8192</v>
      </c>
      <c r="T70" s="17">
        <v>191.11</v>
      </c>
      <c r="V70" s="35">
        <v>64</v>
      </c>
      <c r="W70" s="11">
        <v>256</v>
      </c>
      <c r="X70" s="11">
        <f t="shared" si="16"/>
        <v>10240</v>
      </c>
      <c r="Y70" s="17">
        <v>188.13</v>
      </c>
      <c r="AA70" s="35">
        <v>64</v>
      </c>
      <c r="AB70" s="11">
        <v>256</v>
      </c>
      <c r="AC70" s="11">
        <f t="shared" si="17"/>
        <v>12288</v>
      </c>
      <c r="AD70" s="17">
        <v>184.91</v>
      </c>
      <c r="AF70" s="35">
        <v>64</v>
      </c>
      <c r="AG70" s="11">
        <v>256</v>
      </c>
      <c r="AH70" s="11">
        <v>14336</v>
      </c>
      <c r="AI70" s="64">
        <v>182.27</v>
      </c>
      <c r="AJ70" s="86"/>
      <c r="AK70" s="78">
        <v>64</v>
      </c>
      <c r="AL70" s="11">
        <v>256</v>
      </c>
      <c r="AM70" s="11">
        <v>16384</v>
      </c>
      <c r="AN70" s="17">
        <v>180.87</v>
      </c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</row>
    <row r="71" spans="2:62" ht="16.5" customHeight="1" x14ac:dyDescent="0.35">
      <c r="B71" s="35">
        <v>96</v>
      </c>
      <c r="C71" s="11">
        <v>256</v>
      </c>
      <c r="D71" s="11">
        <f t="shared" ref="D71:D102" si="18">C71*8</f>
        <v>2048</v>
      </c>
      <c r="E71" s="17">
        <v>190.4</v>
      </c>
      <c r="G71" s="35">
        <v>96</v>
      </c>
      <c r="H71" s="11">
        <v>256</v>
      </c>
      <c r="I71" s="11">
        <f t="shared" ref="I71:I102" si="19">H71*8*2</f>
        <v>4096</v>
      </c>
      <c r="J71" s="17">
        <v>191.1</v>
      </c>
      <c r="L71" s="35">
        <v>96</v>
      </c>
      <c r="M71" s="11">
        <v>256</v>
      </c>
      <c r="N71" s="11">
        <f t="shared" si="14"/>
        <v>6144</v>
      </c>
      <c r="O71" s="17">
        <v>187.94</v>
      </c>
      <c r="Q71" s="35">
        <v>96</v>
      </c>
      <c r="R71" s="11">
        <v>256</v>
      </c>
      <c r="S71" s="11">
        <f t="shared" si="15"/>
        <v>8192</v>
      </c>
      <c r="T71" s="17">
        <v>190.18</v>
      </c>
      <c r="V71" s="35">
        <v>96</v>
      </c>
      <c r="W71" s="11">
        <v>256</v>
      </c>
      <c r="X71" s="11">
        <f t="shared" si="16"/>
        <v>10240</v>
      </c>
      <c r="Y71" s="17">
        <v>186.85</v>
      </c>
      <c r="AA71" s="35">
        <v>96</v>
      </c>
      <c r="AB71" s="11">
        <v>256</v>
      </c>
      <c r="AC71" s="11">
        <f t="shared" si="17"/>
        <v>12288</v>
      </c>
      <c r="AD71" s="17">
        <v>184.7</v>
      </c>
      <c r="AF71" s="35">
        <v>96</v>
      </c>
      <c r="AG71" s="11">
        <v>256</v>
      </c>
      <c r="AH71" s="11">
        <v>14336</v>
      </c>
      <c r="AI71" s="64">
        <v>183.13</v>
      </c>
      <c r="AJ71" s="86"/>
      <c r="AK71" s="78">
        <v>96</v>
      </c>
      <c r="AL71" s="11">
        <v>256</v>
      </c>
      <c r="AM71" s="11">
        <v>16384</v>
      </c>
      <c r="AN71" s="17">
        <v>181.07</v>
      </c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</row>
    <row r="72" spans="2:62" ht="16.5" customHeight="1" x14ac:dyDescent="0.35">
      <c r="B72" s="35">
        <v>128</v>
      </c>
      <c r="C72" s="11">
        <v>256</v>
      </c>
      <c r="D72" s="11">
        <f t="shared" si="18"/>
        <v>2048</v>
      </c>
      <c r="E72" s="17">
        <v>193.92</v>
      </c>
      <c r="G72" s="35">
        <v>128</v>
      </c>
      <c r="H72" s="11">
        <v>256</v>
      </c>
      <c r="I72" s="11">
        <f t="shared" si="19"/>
        <v>4096</v>
      </c>
      <c r="J72" s="17">
        <v>188.11</v>
      </c>
      <c r="L72" s="35">
        <v>128</v>
      </c>
      <c r="M72" s="11">
        <v>256</v>
      </c>
      <c r="N72" s="11">
        <f t="shared" si="14"/>
        <v>6144</v>
      </c>
      <c r="O72" s="17">
        <v>190.84</v>
      </c>
      <c r="Q72" s="35">
        <v>128</v>
      </c>
      <c r="R72" s="11">
        <v>256</v>
      </c>
      <c r="S72" s="11">
        <f t="shared" si="15"/>
        <v>8192</v>
      </c>
      <c r="T72" s="17">
        <v>187.36</v>
      </c>
      <c r="V72" s="35">
        <v>128</v>
      </c>
      <c r="W72" s="11">
        <v>256</v>
      </c>
      <c r="X72" s="11">
        <f t="shared" si="16"/>
        <v>10240</v>
      </c>
      <c r="Y72" s="17">
        <v>185.73</v>
      </c>
      <c r="AA72" s="35">
        <v>128</v>
      </c>
      <c r="AB72" s="11">
        <v>256</v>
      </c>
      <c r="AC72" s="11">
        <f t="shared" si="17"/>
        <v>12288</v>
      </c>
      <c r="AD72" s="17">
        <v>182.99</v>
      </c>
      <c r="AF72" s="35">
        <v>128</v>
      </c>
      <c r="AG72" s="11">
        <v>256</v>
      </c>
      <c r="AH72" s="11">
        <v>14336</v>
      </c>
      <c r="AI72" s="64">
        <v>182.85</v>
      </c>
      <c r="AJ72" s="86"/>
      <c r="AK72" s="78">
        <v>128</v>
      </c>
      <c r="AL72" s="11">
        <v>256</v>
      </c>
      <c r="AM72" s="11">
        <v>16384</v>
      </c>
      <c r="AN72" s="17">
        <v>178.52</v>
      </c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</row>
    <row r="73" spans="2:62" ht="16.5" customHeight="1" x14ac:dyDescent="0.35">
      <c r="B73" s="5">
        <v>256</v>
      </c>
      <c r="C73" s="12">
        <v>256</v>
      </c>
      <c r="D73" s="12">
        <f t="shared" si="18"/>
        <v>2048</v>
      </c>
      <c r="E73" s="21">
        <v>192.29</v>
      </c>
      <c r="G73" s="5">
        <v>256</v>
      </c>
      <c r="H73" s="12">
        <v>256</v>
      </c>
      <c r="I73" s="11">
        <f t="shared" si="19"/>
        <v>4096</v>
      </c>
      <c r="J73" s="21">
        <v>189.19</v>
      </c>
      <c r="L73" s="5">
        <v>256</v>
      </c>
      <c r="M73" s="12">
        <v>256</v>
      </c>
      <c r="N73" s="11">
        <f t="shared" si="14"/>
        <v>6144</v>
      </c>
      <c r="O73" s="21">
        <v>185.41</v>
      </c>
      <c r="Q73" s="5">
        <v>256</v>
      </c>
      <c r="R73" s="12">
        <v>256</v>
      </c>
      <c r="S73" s="11">
        <f t="shared" si="15"/>
        <v>8192</v>
      </c>
      <c r="T73" s="21">
        <v>185.14</v>
      </c>
      <c r="V73" s="5">
        <v>256</v>
      </c>
      <c r="W73" s="12">
        <v>256</v>
      </c>
      <c r="X73" s="11">
        <f t="shared" si="16"/>
        <v>10240</v>
      </c>
      <c r="Y73" s="21">
        <v>186.51</v>
      </c>
      <c r="AA73" s="5">
        <v>256</v>
      </c>
      <c r="AB73" s="12">
        <v>256</v>
      </c>
      <c r="AC73" s="11">
        <f t="shared" si="17"/>
        <v>12288</v>
      </c>
      <c r="AD73" s="21">
        <v>184.74</v>
      </c>
      <c r="AF73" s="5">
        <v>256</v>
      </c>
      <c r="AG73" s="12">
        <v>256</v>
      </c>
      <c r="AH73" s="11">
        <v>14336</v>
      </c>
      <c r="AI73" s="73">
        <v>181.34</v>
      </c>
      <c r="AJ73" s="86"/>
      <c r="AK73" s="80">
        <v>256</v>
      </c>
      <c r="AL73" s="12">
        <v>256</v>
      </c>
      <c r="AM73" s="11">
        <v>16384</v>
      </c>
      <c r="AN73" s="21">
        <v>179.15</v>
      </c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</row>
    <row r="74" spans="2:62" ht="16.5" customHeight="1" x14ac:dyDescent="0.35">
      <c r="B74" s="34">
        <v>32</v>
      </c>
      <c r="C74" s="44">
        <v>288</v>
      </c>
      <c r="D74" s="44">
        <f t="shared" si="18"/>
        <v>2304</v>
      </c>
      <c r="E74" s="16">
        <v>202.3</v>
      </c>
      <c r="G74" s="34">
        <v>32</v>
      </c>
      <c r="H74" s="44">
        <f t="shared" ref="H74:H107" si="20">C74</f>
        <v>288</v>
      </c>
      <c r="I74" s="44">
        <f t="shared" si="19"/>
        <v>4608</v>
      </c>
      <c r="J74" s="16">
        <v>196.27</v>
      </c>
      <c r="L74" s="34">
        <v>32</v>
      </c>
      <c r="M74" s="44">
        <f>C74</f>
        <v>288</v>
      </c>
      <c r="N74" s="44">
        <f t="shared" si="14"/>
        <v>6912</v>
      </c>
      <c r="O74" s="16">
        <v>193.42</v>
      </c>
      <c r="Q74" s="34">
        <v>32</v>
      </c>
      <c r="R74" s="44">
        <f>C74</f>
        <v>288</v>
      </c>
      <c r="S74" s="44">
        <f t="shared" si="15"/>
        <v>9216</v>
      </c>
      <c r="T74" s="16">
        <v>169.28</v>
      </c>
      <c r="V74" s="34">
        <v>32</v>
      </c>
      <c r="W74" s="44">
        <f>C74</f>
        <v>288</v>
      </c>
      <c r="X74" s="44">
        <f t="shared" si="16"/>
        <v>11520</v>
      </c>
      <c r="Y74" s="16">
        <v>191.89</v>
      </c>
      <c r="AA74" s="34">
        <v>32</v>
      </c>
      <c r="AB74" s="44">
        <f>C74</f>
        <v>288</v>
      </c>
      <c r="AC74" s="44">
        <f t="shared" si="17"/>
        <v>13824</v>
      </c>
      <c r="AD74" s="16">
        <v>192.36</v>
      </c>
      <c r="AF74" s="34">
        <v>32</v>
      </c>
      <c r="AG74" s="44">
        <f>C74</f>
        <v>288</v>
      </c>
      <c r="AH74" s="11">
        <f t="shared" ref="AH74:AH107" si="21">D74*7</f>
        <v>16128</v>
      </c>
      <c r="AI74" s="62">
        <v>191.61</v>
      </c>
      <c r="AJ74" s="86"/>
      <c r="AK74" s="77">
        <v>32</v>
      </c>
      <c r="AL74" s="44">
        <f>C74</f>
        <v>288</v>
      </c>
      <c r="AM74" s="11">
        <f t="shared" ref="AM74:AM107" si="22">D74*8</f>
        <v>18432</v>
      </c>
      <c r="AN74" s="16">
        <v>164.87</v>
      </c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</row>
    <row r="75" spans="2:62" ht="16.5" customHeight="1" x14ac:dyDescent="0.35">
      <c r="B75" s="35">
        <v>64</v>
      </c>
      <c r="C75" s="11">
        <v>288</v>
      </c>
      <c r="D75" s="11">
        <f t="shared" si="18"/>
        <v>2304</v>
      </c>
      <c r="E75" s="17">
        <v>203.01</v>
      </c>
      <c r="G75" s="35">
        <v>64</v>
      </c>
      <c r="H75" s="11">
        <f t="shared" si="20"/>
        <v>288</v>
      </c>
      <c r="I75" s="11">
        <f t="shared" si="19"/>
        <v>4608</v>
      </c>
      <c r="J75" s="17">
        <v>200.87</v>
      </c>
      <c r="L75" s="35">
        <v>64</v>
      </c>
      <c r="M75" s="11">
        <f>C74</f>
        <v>288</v>
      </c>
      <c r="N75" s="11">
        <f t="shared" si="14"/>
        <v>6912</v>
      </c>
      <c r="O75" s="17">
        <v>194.53</v>
      </c>
      <c r="Q75" s="35">
        <v>64</v>
      </c>
      <c r="R75" s="11">
        <f>C74</f>
        <v>288</v>
      </c>
      <c r="S75" s="11">
        <f t="shared" si="15"/>
        <v>9216</v>
      </c>
      <c r="T75" s="17">
        <v>168.8</v>
      </c>
      <c r="V75" s="35">
        <v>64</v>
      </c>
      <c r="W75" s="11">
        <f>C74</f>
        <v>288</v>
      </c>
      <c r="X75" s="11">
        <f t="shared" si="16"/>
        <v>11520</v>
      </c>
      <c r="Y75" s="17">
        <v>196.36</v>
      </c>
      <c r="AA75" s="35">
        <v>64</v>
      </c>
      <c r="AB75" s="11">
        <f>C74</f>
        <v>288</v>
      </c>
      <c r="AC75" s="11">
        <f t="shared" si="17"/>
        <v>13824</v>
      </c>
      <c r="AD75" s="17">
        <v>194.57</v>
      </c>
      <c r="AF75" s="35">
        <v>64</v>
      </c>
      <c r="AG75" s="11">
        <f>C74</f>
        <v>288</v>
      </c>
      <c r="AH75" s="11">
        <f t="shared" si="21"/>
        <v>16128</v>
      </c>
      <c r="AI75" s="64">
        <v>195.3</v>
      </c>
      <c r="AJ75" s="86"/>
      <c r="AK75" s="78">
        <v>64</v>
      </c>
      <c r="AL75" s="11">
        <f>C74</f>
        <v>288</v>
      </c>
      <c r="AM75" s="11">
        <f t="shared" si="22"/>
        <v>18432</v>
      </c>
      <c r="AN75" s="17">
        <v>165.6</v>
      </c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</row>
    <row r="76" spans="2:62" ht="16.5" customHeight="1" x14ac:dyDescent="0.35">
      <c r="B76" s="35">
        <v>96</v>
      </c>
      <c r="C76" s="11">
        <v>288</v>
      </c>
      <c r="D76" s="11">
        <f t="shared" si="18"/>
        <v>2304</v>
      </c>
      <c r="E76" s="17">
        <v>201.81</v>
      </c>
      <c r="G76" s="35">
        <v>96</v>
      </c>
      <c r="H76" s="11">
        <f t="shared" si="20"/>
        <v>288</v>
      </c>
      <c r="I76" s="11">
        <f t="shared" si="19"/>
        <v>4608</v>
      </c>
      <c r="J76" s="17">
        <v>200.27</v>
      </c>
      <c r="L76" s="35">
        <v>96</v>
      </c>
      <c r="M76" s="11">
        <f>C74</f>
        <v>288</v>
      </c>
      <c r="N76" s="11">
        <f t="shared" si="14"/>
        <v>6912</v>
      </c>
      <c r="O76" s="17">
        <v>196.82</v>
      </c>
      <c r="Q76" s="35">
        <v>96</v>
      </c>
      <c r="R76" s="11">
        <f>C74</f>
        <v>288</v>
      </c>
      <c r="S76" s="11">
        <f t="shared" si="15"/>
        <v>9216</v>
      </c>
      <c r="T76" s="17">
        <v>168.46</v>
      </c>
      <c r="V76" s="35">
        <v>96</v>
      </c>
      <c r="W76" s="11">
        <f>C74</f>
        <v>288</v>
      </c>
      <c r="X76" s="11">
        <f t="shared" si="16"/>
        <v>11520</v>
      </c>
      <c r="Y76" s="17">
        <v>197.54</v>
      </c>
      <c r="AA76" s="35">
        <v>96</v>
      </c>
      <c r="AB76" s="11">
        <f>C74</f>
        <v>288</v>
      </c>
      <c r="AC76" s="11">
        <f t="shared" si="17"/>
        <v>13824</v>
      </c>
      <c r="AD76" s="17">
        <v>195.53</v>
      </c>
      <c r="AF76" s="35">
        <v>96</v>
      </c>
      <c r="AG76" s="11">
        <f>C74</f>
        <v>288</v>
      </c>
      <c r="AH76" s="11">
        <f t="shared" si="21"/>
        <v>16128</v>
      </c>
      <c r="AI76" s="64">
        <v>197.79</v>
      </c>
      <c r="AJ76" s="86"/>
      <c r="AK76" s="78">
        <v>96</v>
      </c>
      <c r="AL76" s="11">
        <f>C74</f>
        <v>288</v>
      </c>
      <c r="AM76" s="11">
        <f t="shared" si="22"/>
        <v>18432</v>
      </c>
      <c r="AN76" s="17">
        <v>165.16</v>
      </c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</row>
    <row r="77" spans="2:62" ht="16.5" customHeight="1" x14ac:dyDescent="0.35">
      <c r="B77" s="35">
        <v>128</v>
      </c>
      <c r="C77" s="11">
        <v>288</v>
      </c>
      <c r="D77" s="11">
        <f t="shared" si="18"/>
        <v>2304</v>
      </c>
      <c r="E77" s="17">
        <v>203.47</v>
      </c>
      <c r="G77" s="35">
        <v>128</v>
      </c>
      <c r="H77" s="11">
        <f t="shared" si="20"/>
        <v>288</v>
      </c>
      <c r="I77" s="11">
        <f t="shared" si="19"/>
        <v>4608</v>
      </c>
      <c r="J77" s="17">
        <v>198.89</v>
      </c>
      <c r="L77" s="35">
        <v>128</v>
      </c>
      <c r="M77" s="11">
        <f>C74</f>
        <v>288</v>
      </c>
      <c r="N77" s="11">
        <f t="shared" si="14"/>
        <v>6912</v>
      </c>
      <c r="O77" s="17">
        <v>195.29</v>
      </c>
      <c r="Q77" s="35">
        <v>128</v>
      </c>
      <c r="R77" s="11">
        <f>C74</f>
        <v>288</v>
      </c>
      <c r="S77" s="11">
        <f t="shared" si="15"/>
        <v>9216</v>
      </c>
      <c r="T77" s="17">
        <v>168.49</v>
      </c>
      <c r="V77" s="35">
        <v>128</v>
      </c>
      <c r="W77" s="11">
        <f>C74</f>
        <v>288</v>
      </c>
      <c r="X77" s="11">
        <f t="shared" si="16"/>
        <v>11520</v>
      </c>
      <c r="Y77" s="17">
        <v>197.1</v>
      </c>
      <c r="AA77" s="35">
        <v>128</v>
      </c>
      <c r="AB77" s="11">
        <f>C74</f>
        <v>288</v>
      </c>
      <c r="AC77" s="11">
        <f t="shared" si="17"/>
        <v>13824</v>
      </c>
      <c r="AD77" s="17">
        <v>194.85</v>
      </c>
      <c r="AF77" s="35">
        <v>128</v>
      </c>
      <c r="AG77" s="11">
        <f>C74</f>
        <v>288</v>
      </c>
      <c r="AH77" s="11">
        <f t="shared" si="21"/>
        <v>16128</v>
      </c>
      <c r="AI77" s="64">
        <v>198.18</v>
      </c>
      <c r="AJ77" s="86"/>
      <c r="AK77" s="78">
        <v>128</v>
      </c>
      <c r="AL77" s="11">
        <f>C74</f>
        <v>288</v>
      </c>
      <c r="AM77" s="11">
        <f t="shared" si="22"/>
        <v>18432</v>
      </c>
      <c r="AN77" s="17">
        <v>165.15</v>
      </c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</row>
    <row r="78" spans="2:62" ht="16.5" customHeight="1" x14ac:dyDescent="0.35">
      <c r="B78" s="35">
        <v>256</v>
      </c>
      <c r="C78" s="11">
        <v>288</v>
      </c>
      <c r="D78" s="11">
        <f t="shared" si="18"/>
        <v>2304</v>
      </c>
      <c r="E78" s="17">
        <v>201.25</v>
      </c>
      <c r="G78" s="35">
        <v>256</v>
      </c>
      <c r="H78" s="11">
        <f t="shared" si="20"/>
        <v>288</v>
      </c>
      <c r="I78" s="11">
        <f t="shared" si="19"/>
        <v>4608</v>
      </c>
      <c r="J78" s="17">
        <v>199.03</v>
      </c>
      <c r="L78" s="35">
        <v>256</v>
      </c>
      <c r="M78" s="11">
        <f>C74</f>
        <v>288</v>
      </c>
      <c r="N78" s="11">
        <f t="shared" si="14"/>
        <v>6912</v>
      </c>
      <c r="O78" s="17">
        <v>195.71</v>
      </c>
      <c r="Q78" s="35">
        <v>256</v>
      </c>
      <c r="R78" s="11">
        <f>C74</f>
        <v>288</v>
      </c>
      <c r="S78" s="11">
        <f t="shared" si="15"/>
        <v>9216</v>
      </c>
      <c r="T78" s="17">
        <v>167.83</v>
      </c>
      <c r="V78" s="35">
        <v>256</v>
      </c>
      <c r="W78" s="11">
        <f>C74</f>
        <v>288</v>
      </c>
      <c r="X78" s="11">
        <f t="shared" si="16"/>
        <v>11520</v>
      </c>
      <c r="Y78" s="17">
        <v>196.73</v>
      </c>
      <c r="AA78" s="35">
        <v>256</v>
      </c>
      <c r="AB78" s="11">
        <f>C74</f>
        <v>288</v>
      </c>
      <c r="AC78" s="11">
        <f t="shared" si="17"/>
        <v>13824</v>
      </c>
      <c r="AD78" s="17">
        <v>195.72</v>
      </c>
      <c r="AF78" s="35">
        <v>256</v>
      </c>
      <c r="AG78" s="11">
        <f>C74</f>
        <v>288</v>
      </c>
      <c r="AH78" s="11">
        <f t="shared" si="21"/>
        <v>16128</v>
      </c>
      <c r="AI78" s="64">
        <v>197.97</v>
      </c>
      <c r="AJ78" s="86"/>
      <c r="AK78" s="78">
        <v>256</v>
      </c>
      <c r="AL78" s="11">
        <f>C74</f>
        <v>288</v>
      </c>
      <c r="AM78" s="11">
        <f t="shared" si="22"/>
        <v>18432</v>
      </c>
      <c r="AN78" s="17">
        <v>163.97</v>
      </c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</row>
    <row r="79" spans="2:62" ht="16.5" customHeight="1" x14ac:dyDescent="0.35">
      <c r="B79" s="34">
        <v>32</v>
      </c>
      <c r="C79" s="44">
        <v>320</v>
      </c>
      <c r="D79" s="44">
        <f t="shared" si="18"/>
        <v>2560</v>
      </c>
      <c r="E79" s="16">
        <v>221.75</v>
      </c>
      <c r="G79" s="34">
        <v>32</v>
      </c>
      <c r="H79" s="44">
        <f t="shared" si="20"/>
        <v>320</v>
      </c>
      <c r="I79" s="44">
        <f t="shared" si="19"/>
        <v>5120</v>
      </c>
      <c r="J79" s="16">
        <v>201.87</v>
      </c>
      <c r="L79" s="34">
        <v>32</v>
      </c>
      <c r="M79" s="44">
        <f>C79</f>
        <v>320</v>
      </c>
      <c r="N79" s="44">
        <f t="shared" si="14"/>
        <v>7680</v>
      </c>
      <c r="O79" s="16">
        <v>213.6</v>
      </c>
      <c r="Q79" s="34">
        <v>32</v>
      </c>
      <c r="R79" s="44">
        <f>C79</f>
        <v>320</v>
      </c>
      <c r="S79" s="44">
        <f t="shared" si="15"/>
        <v>10240</v>
      </c>
      <c r="T79" s="16">
        <v>194.05</v>
      </c>
      <c r="V79" s="34">
        <v>32</v>
      </c>
      <c r="W79" s="44">
        <f>C79</f>
        <v>320</v>
      </c>
      <c r="X79" s="44">
        <f t="shared" si="16"/>
        <v>12800</v>
      </c>
      <c r="Y79" s="16">
        <v>215.14</v>
      </c>
      <c r="AA79" s="34">
        <v>32</v>
      </c>
      <c r="AB79" s="44">
        <f>C79</f>
        <v>320</v>
      </c>
      <c r="AC79" s="44">
        <f t="shared" si="17"/>
        <v>15360</v>
      </c>
      <c r="AD79" s="16">
        <v>187.64</v>
      </c>
      <c r="AF79" s="34">
        <v>32</v>
      </c>
      <c r="AG79" s="44">
        <f>C79</f>
        <v>320</v>
      </c>
      <c r="AH79" s="11">
        <f t="shared" si="21"/>
        <v>17920</v>
      </c>
      <c r="AI79" s="62">
        <v>213.85</v>
      </c>
      <c r="AJ79" s="86"/>
      <c r="AK79" s="77">
        <v>32</v>
      </c>
      <c r="AL79" s="44">
        <f>C79</f>
        <v>320</v>
      </c>
      <c r="AM79" s="11">
        <f t="shared" si="22"/>
        <v>20480</v>
      </c>
      <c r="AN79" s="16">
        <v>184.99</v>
      </c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</row>
    <row r="80" spans="2:62" ht="16.5" customHeight="1" x14ac:dyDescent="0.35">
      <c r="B80" s="35">
        <v>64</v>
      </c>
      <c r="C80" s="11">
        <v>320</v>
      </c>
      <c r="D80" s="11">
        <f t="shared" si="18"/>
        <v>2560</v>
      </c>
      <c r="E80" s="17">
        <v>222.15</v>
      </c>
      <c r="G80" s="35">
        <v>64</v>
      </c>
      <c r="H80" s="11">
        <f t="shared" si="20"/>
        <v>320</v>
      </c>
      <c r="I80" s="11">
        <f t="shared" si="19"/>
        <v>5120</v>
      </c>
      <c r="J80" s="17">
        <v>202.68</v>
      </c>
      <c r="L80" s="35">
        <v>64</v>
      </c>
      <c r="M80" s="11">
        <f>C79</f>
        <v>320</v>
      </c>
      <c r="N80" s="11">
        <f t="shared" si="14"/>
        <v>7680</v>
      </c>
      <c r="O80" s="17">
        <v>217.62</v>
      </c>
      <c r="Q80" s="35">
        <v>64</v>
      </c>
      <c r="R80" s="11">
        <f>C79</f>
        <v>320</v>
      </c>
      <c r="S80" s="11">
        <f t="shared" si="15"/>
        <v>10240</v>
      </c>
      <c r="T80" s="17">
        <v>195.57</v>
      </c>
      <c r="V80" s="35">
        <v>64</v>
      </c>
      <c r="W80" s="11">
        <f>C79</f>
        <v>320</v>
      </c>
      <c r="X80" s="11">
        <f t="shared" si="16"/>
        <v>12800</v>
      </c>
      <c r="Y80" s="17">
        <v>218.43</v>
      </c>
      <c r="AA80" s="35">
        <v>64</v>
      </c>
      <c r="AB80" s="11">
        <f>C79</f>
        <v>320</v>
      </c>
      <c r="AC80" s="11">
        <f t="shared" si="17"/>
        <v>15360</v>
      </c>
      <c r="AD80" s="17">
        <v>188.54</v>
      </c>
      <c r="AF80" s="35">
        <v>64</v>
      </c>
      <c r="AG80" s="11">
        <f>C79</f>
        <v>320</v>
      </c>
      <c r="AH80" s="11">
        <f t="shared" si="21"/>
        <v>17920</v>
      </c>
      <c r="AI80" s="64">
        <v>216.56</v>
      </c>
      <c r="AJ80" s="86"/>
      <c r="AK80" s="78">
        <v>64</v>
      </c>
      <c r="AL80" s="11">
        <f>C79</f>
        <v>320</v>
      </c>
      <c r="AM80" s="11">
        <f t="shared" si="22"/>
        <v>20480</v>
      </c>
      <c r="AN80" s="17">
        <v>184.61</v>
      </c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</row>
    <row r="81" spans="2:62" ht="16.5" customHeight="1" x14ac:dyDescent="0.35">
      <c r="B81" s="35">
        <v>96</v>
      </c>
      <c r="C81" s="11">
        <v>320</v>
      </c>
      <c r="D81" s="11">
        <f t="shared" si="18"/>
        <v>2560</v>
      </c>
      <c r="E81" s="17">
        <v>224.55</v>
      </c>
      <c r="G81" s="35">
        <v>96</v>
      </c>
      <c r="H81" s="11">
        <f t="shared" si="20"/>
        <v>320</v>
      </c>
      <c r="I81" s="11">
        <f t="shared" si="19"/>
        <v>5120</v>
      </c>
      <c r="J81" s="17">
        <v>202.89</v>
      </c>
      <c r="L81" s="35">
        <v>96</v>
      </c>
      <c r="M81" s="11">
        <f>C79</f>
        <v>320</v>
      </c>
      <c r="N81" s="11">
        <f t="shared" si="14"/>
        <v>7680</v>
      </c>
      <c r="O81" s="17">
        <v>217.17</v>
      </c>
      <c r="Q81" s="35">
        <v>96</v>
      </c>
      <c r="R81" s="11">
        <f>C79</f>
        <v>320</v>
      </c>
      <c r="S81" s="11">
        <f t="shared" si="15"/>
        <v>10240</v>
      </c>
      <c r="T81" s="17">
        <v>196.3</v>
      </c>
      <c r="V81" s="35">
        <v>96</v>
      </c>
      <c r="W81" s="11">
        <f>C79</f>
        <v>320</v>
      </c>
      <c r="X81" s="11">
        <f t="shared" si="16"/>
        <v>12800</v>
      </c>
      <c r="Y81" s="17">
        <v>218.04</v>
      </c>
      <c r="AA81" s="35">
        <v>96</v>
      </c>
      <c r="AB81" s="11">
        <f>C79</f>
        <v>320</v>
      </c>
      <c r="AC81" s="11">
        <f t="shared" si="17"/>
        <v>15360</v>
      </c>
      <c r="AD81" s="17">
        <v>187.86</v>
      </c>
      <c r="AF81" s="35">
        <v>96</v>
      </c>
      <c r="AG81" s="11">
        <f>C79</f>
        <v>320</v>
      </c>
      <c r="AH81" s="11">
        <f t="shared" si="21"/>
        <v>17920</v>
      </c>
      <c r="AI81" s="64">
        <v>217.3</v>
      </c>
      <c r="AJ81" s="86"/>
      <c r="AK81" s="78">
        <v>96</v>
      </c>
      <c r="AL81" s="11">
        <f>C79</f>
        <v>320</v>
      </c>
      <c r="AM81" s="11">
        <f t="shared" si="22"/>
        <v>20480</v>
      </c>
      <c r="AN81" s="17">
        <v>185.22</v>
      </c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</row>
    <row r="82" spans="2:62" ht="16.5" customHeight="1" x14ac:dyDescent="0.35">
      <c r="B82" s="35">
        <v>128</v>
      </c>
      <c r="C82" s="11">
        <v>320</v>
      </c>
      <c r="D82" s="11">
        <f t="shared" si="18"/>
        <v>2560</v>
      </c>
      <c r="E82" s="17">
        <v>224.62</v>
      </c>
      <c r="G82" s="35">
        <v>128</v>
      </c>
      <c r="H82" s="11">
        <f t="shared" si="20"/>
        <v>320</v>
      </c>
      <c r="I82" s="11">
        <f t="shared" si="19"/>
        <v>5120</v>
      </c>
      <c r="J82" s="17">
        <v>202.16</v>
      </c>
      <c r="L82" s="35">
        <v>128</v>
      </c>
      <c r="M82" s="11">
        <f>C79</f>
        <v>320</v>
      </c>
      <c r="N82" s="11">
        <f t="shared" si="14"/>
        <v>7680</v>
      </c>
      <c r="O82" s="17">
        <v>217.61</v>
      </c>
      <c r="Q82" s="35">
        <v>128</v>
      </c>
      <c r="R82" s="11">
        <f>C79</f>
        <v>320</v>
      </c>
      <c r="S82" s="11">
        <f t="shared" si="15"/>
        <v>10240</v>
      </c>
      <c r="T82" s="17">
        <v>195.72</v>
      </c>
      <c r="V82" s="35">
        <v>128</v>
      </c>
      <c r="W82" s="11">
        <f>C79</f>
        <v>320</v>
      </c>
      <c r="X82" s="11">
        <f t="shared" si="16"/>
        <v>12800</v>
      </c>
      <c r="Y82" s="17">
        <v>218.63</v>
      </c>
      <c r="AA82" s="35">
        <v>128</v>
      </c>
      <c r="AB82" s="11">
        <f>C79</f>
        <v>320</v>
      </c>
      <c r="AC82" s="11">
        <f t="shared" si="17"/>
        <v>15360</v>
      </c>
      <c r="AD82" s="17">
        <v>187.14</v>
      </c>
      <c r="AF82" s="35">
        <v>128</v>
      </c>
      <c r="AG82" s="11">
        <f>C79</f>
        <v>320</v>
      </c>
      <c r="AH82" s="11">
        <f t="shared" si="21"/>
        <v>17920</v>
      </c>
      <c r="AI82" s="64">
        <v>217.38</v>
      </c>
      <c r="AJ82" s="86"/>
      <c r="AK82" s="78">
        <v>128</v>
      </c>
      <c r="AL82" s="11">
        <f>C79</f>
        <v>320</v>
      </c>
      <c r="AM82" s="11">
        <f t="shared" si="22"/>
        <v>20480</v>
      </c>
      <c r="AN82" s="17">
        <v>186.01</v>
      </c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</row>
    <row r="83" spans="2:62" ht="16.5" customHeight="1" x14ac:dyDescent="0.35">
      <c r="B83" s="35">
        <v>256</v>
      </c>
      <c r="C83" s="11">
        <v>320</v>
      </c>
      <c r="D83" s="11">
        <f t="shared" si="18"/>
        <v>2560</v>
      </c>
      <c r="E83" s="17">
        <v>221.56</v>
      </c>
      <c r="G83" s="35">
        <v>256</v>
      </c>
      <c r="H83" s="11">
        <f t="shared" si="20"/>
        <v>320</v>
      </c>
      <c r="I83" s="11">
        <f t="shared" si="19"/>
        <v>5120</v>
      </c>
      <c r="J83" s="17">
        <v>202.77</v>
      </c>
      <c r="L83" s="35">
        <v>256</v>
      </c>
      <c r="M83" s="11">
        <f>C79</f>
        <v>320</v>
      </c>
      <c r="N83" s="11">
        <f t="shared" si="14"/>
        <v>7680</v>
      </c>
      <c r="O83" s="17">
        <v>218.4</v>
      </c>
      <c r="Q83" s="35">
        <v>256</v>
      </c>
      <c r="R83" s="11">
        <f>C79</f>
        <v>320</v>
      </c>
      <c r="S83" s="11">
        <f t="shared" si="15"/>
        <v>10240</v>
      </c>
      <c r="T83" s="17">
        <v>195.71</v>
      </c>
      <c r="V83" s="35">
        <v>256</v>
      </c>
      <c r="W83" s="11">
        <f>C79</f>
        <v>320</v>
      </c>
      <c r="X83" s="11">
        <f t="shared" si="16"/>
        <v>12800</v>
      </c>
      <c r="Y83" s="17">
        <v>218.95</v>
      </c>
      <c r="AA83" s="35">
        <v>256</v>
      </c>
      <c r="AB83" s="11">
        <f>C79</f>
        <v>320</v>
      </c>
      <c r="AC83" s="11">
        <f t="shared" si="17"/>
        <v>15360</v>
      </c>
      <c r="AD83" s="17">
        <v>188.15</v>
      </c>
      <c r="AF83" s="35">
        <v>256</v>
      </c>
      <c r="AG83" s="11">
        <f>C79</f>
        <v>320</v>
      </c>
      <c r="AH83" s="11">
        <f t="shared" si="21"/>
        <v>17920</v>
      </c>
      <c r="AI83" s="64">
        <v>203.91</v>
      </c>
      <c r="AJ83" s="86"/>
      <c r="AK83" s="78">
        <v>256</v>
      </c>
      <c r="AL83" s="11">
        <f>C79</f>
        <v>320</v>
      </c>
      <c r="AM83" s="11">
        <f t="shared" si="22"/>
        <v>20480</v>
      </c>
      <c r="AN83" s="17">
        <v>179.07</v>
      </c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</row>
    <row r="84" spans="2:62" ht="16.5" customHeight="1" x14ac:dyDescent="0.35">
      <c r="B84" s="34">
        <v>32</v>
      </c>
      <c r="C84" s="44">
        <v>352</v>
      </c>
      <c r="D84" s="44">
        <f t="shared" si="18"/>
        <v>2816</v>
      </c>
      <c r="E84" s="16">
        <v>208.01</v>
      </c>
      <c r="G84" s="34">
        <v>32</v>
      </c>
      <c r="H84" s="44">
        <f t="shared" si="20"/>
        <v>352</v>
      </c>
      <c r="I84" s="44">
        <f t="shared" si="19"/>
        <v>5632</v>
      </c>
      <c r="J84" s="16">
        <v>184.57</v>
      </c>
      <c r="L84" s="34">
        <v>32</v>
      </c>
      <c r="M84" s="44">
        <f>C84</f>
        <v>352</v>
      </c>
      <c r="N84" s="44">
        <f t="shared" si="14"/>
        <v>8448</v>
      </c>
      <c r="O84" s="16">
        <v>201.33</v>
      </c>
      <c r="Q84" s="34">
        <v>32</v>
      </c>
      <c r="R84" s="44">
        <f>C84</f>
        <v>352</v>
      </c>
      <c r="S84" s="44">
        <f t="shared" si="15"/>
        <v>11264</v>
      </c>
      <c r="T84" s="16">
        <v>163.9</v>
      </c>
      <c r="V84" s="34">
        <v>32</v>
      </c>
      <c r="W84" s="44">
        <f>C84</f>
        <v>352</v>
      </c>
      <c r="X84" s="44">
        <f t="shared" si="16"/>
        <v>14080</v>
      </c>
      <c r="Y84" s="16">
        <v>198.79</v>
      </c>
      <c r="AA84" s="34">
        <v>32</v>
      </c>
      <c r="AB84" s="44">
        <f>C84</f>
        <v>352</v>
      </c>
      <c r="AC84" s="44">
        <f t="shared" si="17"/>
        <v>16896</v>
      </c>
      <c r="AD84" s="16">
        <v>181.62</v>
      </c>
      <c r="AF84" s="34">
        <v>32</v>
      </c>
      <c r="AG84" s="44">
        <f>C84</f>
        <v>352</v>
      </c>
      <c r="AH84" s="11">
        <f t="shared" si="21"/>
        <v>19712</v>
      </c>
      <c r="AI84" s="62">
        <v>197.18</v>
      </c>
      <c r="AJ84" s="86"/>
      <c r="AK84" s="77">
        <v>32</v>
      </c>
      <c r="AL84" s="44">
        <f>C84</f>
        <v>352</v>
      </c>
      <c r="AM84" s="11">
        <f t="shared" si="22"/>
        <v>22528</v>
      </c>
      <c r="AN84" s="16">
        <v>164.22</v>
      </c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</row>
    <row r="85" spans="2:62" ht="16.5" customHeight="1" x14ac:dyDescent="0.35">
      <c r="B85" s="35">
        <v>64</v>
      </c>
      <c r="C85" s="11">
        <v>352</v>
      </c>
      <c r="D85" s="11">
        <f t="shared" si="18"/>
        <v>2816</v>
      </c>
      <c r="E85" s="17">
        <v>204.89</v>
      </c>
      <c r="G85" s="35">
        <v>64</v>
      </c>
      <c r="H85" s="11">
        <f t="shared" si="20"/>
        <v>352</v>
      </c>
      <c r="I85" s="11">
        <f t="shared" si="19"/>
        <v>5632</v>
      </c>
      <c r="J85" s="17">
        <v>183.36</v>
      </c>
      <c r="L85" s="35">
        <v>64</v>
      </c>
      <c r="M85" s="11">
        <f>C84</f>
        <v>352</v>
      </c>
      <c r="N85" s="11">
        <f t="shared" si="14"/>
        <v>8448</v>
      </c>
      <c r="O85" s="17">
        <v>200.66</v>
      </c>
      <c r="Q85" s="35">
        <v>64</v>
      </c>
      <c r="R85" s="11">
        <f>C84</f>
        <v>352</v>
      </c>
      <c r="S85" s="11">
        <f t="shared" si="15"/>
        <v>11264</v>
      </c>
      <c r="T85" s="17">
        <v>163.68</v>
      </c>
      <c r="V85" s="35">
        <v>64</v>
      </c>
      <c r="W85" s="11">
        <f>C84</f>
        <v>352</v>
      </c>
      <c r="X85" s="11">
        <f t="shared" si="16"/>
        <v>14080</v>
      </c>
      <c r="Y85" s="17">
        <v>198.87</v>
      </c>
      <c r="AA85" s="35">
        <v>64</v>
      </c>
      <c r="AB85" s="11">
        <f>C84</f>
        <v>352</v>
      </c>
      <c r="AC85" s="11">
        <f t="shared" si="17"/>
        <v>16896</v>
      </c>
      <c r="AD85" s="17">
        <v>182.53</v>
      </c>
      <c r="AF85" s="35">
        <v>64</v>
      </c>
      <c r="AG85" s="11">
        <f>C84</f>
        <v>352</v>
      </c>
      <c r="AH85" s="11">
        <f t="shared" si="21"/>
        <v>19712</v>
      </c>
      <c r="AI85" s="64">
        <v>198.79</v>
      </c>
      <c r="AJ85" s="86"/>
      <c r="AK85" s="78">
        <v>64</v>
      </c>
      <c r="AL85" s="11">
        <f>C84</f>
        <v>352</v>
      </c>
      <c r="AM85" s="11">
        <f t="shared" si="22"/>
        <v>22528</v>
      </c>
      <c r="AN85" s="17">
        <v>163.37</v>
      </c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</row>
    <row r="86" spans="2:62" ht="16.5" customHeight="1" x14ac:dyDescent="0.35">
      <c r="B86" s="35">
        <v>96</v>
      </c>
      <c r="C86" s="11">
        <v>352</v>
      </c>
      <c r="D86" s="11">
        <f t="shared" si="18"/>
        <v>2816</v>
      </c>
      <c r="E86" s="17">
        <v>202.76</v>
      </c>
      <c r="G86" s="35">
        <v>96</v>
      </c>
      <c r="H86" s="11">
        <f t="shared" si="20"/>
        <v>352</v>
      </c>
      <c r="I86" s="11">
        <f t="shared" si="19"/>
        <v>5632</v>
      </c>
      <c r="J86" s="17">
        <v>185.34</v>
      </c>
      <c r="L86" s="35">
        <v>96</v>
      </c>
      <c r="M86" s="11">
        <f>C84</f>
        <v>352</v>
      </c>
      <c r="N86" s="11">
        <f t="shared" si="14"/>
        <v>8448</v>
      </c>
      <c r="O86" s="17">
        <v>201.77</v>
      </c>
      <c r="Q86" s="35">
        <v>96</v>
      </c>
      <c r="R86" s="11">
        <f>C84</f>
        <v>352</v>
      </c>
      <c r="S86" s="11">
        <f t="shared" si="15"/>
        <v>11264</v>
      </c>
      <c r="T86" s="17">
        <v>161.97</v>
      </c>
      <c r="V86" s="35">
        <v>96</v>
      </c>
      <c r="W86" s="11">
        <f>C84</f>
        <v>352</v>
      </c>
      <c r="X86" s="11">
        <f t="shared" si="16"/>
        <v>14080</v>
      </c>
      <c r="Y86" s="17">
        <v>200.28</v>
      </c>
      <c r="AA86" s="35">
        <v>96</v>
      </c>
      <c r="AB86" s="11">
        <f>C84</f>
        <v>352</v>
      </c>
      <c r="AC86" s="11">
        <f t="shared" si="17"/>
        <v>16896</v>
      </c>
      <c r="AD86" s="17">
        <v>182.81</v>
      </c>
      <c r="AF86" s="35">
        <v>96</v>
      </c>
      <c r="AG86" s="11">
        <f>C84</f>
        <v>352</v>
      </c>
      <c r="AH86" s="11">
        <f t="shared" si="21"/>
        <v>19712</v>
      </c>
      <c r="AI86" s="64">
        <v>199.79</v>
      </c>
      <c r="AJ86" s="86"/>
      <c r="AK86" s="78">
        <v>96</v>
      </c>
      <c r="AL86" s="11">
        <f>C84</f>
        <v>352</v>
      </c>
      <c r="AM86" s="11">
        <f t="shared" si="22"/>
        <v>22528</v>
      </c>
      <c r="AN86" s="17">
        <v>162.62</v>
      </c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</row>
    <row r="87" spans="2:62" ht="16.5" customHeight="1" x14ac:dyDescent="0.35">
      <c r="B87" s="35">
        <v>128</v>
      </c>
      <c r="C87" s="11">
        <v>352</v>
      </c>
      <c r="D87" s="11">
        <f t="shared" si="18"/>
        <v>2816</v>
      </c>
      <c r="E87" s="17">
        <v>202.49</v>
      </c>
      <c r="G87" s="35">
        <v>128</v>
      </c>
      <c r="H87" s="11">
        <f t="shared" si="20"/>
        <v>352</v>
      </c>
      <c r="I87" s="11">
        <f t="shared" si="19"/>
        <v>5632</v>
      </c>
      <c r="J87" s="17">
        <v>184.79</v>
      </c>
      <c r="L87" s="35">
        <v>128</v>
      </c>
      <c r="M87" s="11">
        <f>C84</f>
        <v>352</v>
      </c>
      <c r="N87" s="11">
        <f t="shared" si="14"/>
        <v>8448</v>
      </c>
      <c r="O87" s="17">
        <v>203.03</v>
      </c>
      <c r="Q87" s="35">
        <v>128</v>
      </c>
      <c r="R87" s="11">
        <f>C84</f>
        <v>352</v>
      </c>
      <c r="S87" s="11">
        <f t="shared" si="15"/>
        <v>11264</v>
      </c>
      <c r="T87" s="17">
        <v>162.72</v>
      </c>
      <c r="V87" s="35">
        <v>128</v>
      </c>
      <c r="W87" s="11">
        <f>C84</f>
        <v>352</v>
      </c>
      <c r="X87" s="11">
        <f t="shared" si="16"/>
        <v>14080</v>
      </c>
      <c r="Y87" s="17">
        <v>200.56</v>
      </c>
      <c r="AA87" s="35">
        <v>128</v>
      </c>
      <c r="AB87" s="11">
        <f>C84</f>
        <v>352</v>
      </c>
      <c r="AC87" s="11">
        <f t="shared" si="17"/>
        <v>16896</v>
      </c>
      <c r="AD87" s="17">
        <v>181.69</v>
      </c>
      <c r="AF87" s="35">
        <v>128</v>
      </c>
      <c r="AG87" s="11">
        <f>C84</f>
        <v>352</v>
      </c>
      <c r="AH87" s="11">
        <f t="shared" si="21"/>
        <v>19712</v>
      </c>
      <c r="AI87" s="64">
        <v>200.09</v>
      </c>
      <c r="AJ87" s="86"/>
      <c r="AK87" s="78">
        <v>128</v>
      </c>
      <c r="AL87" s="11">
        <f>C84</f>
        <v>352</v>
      </c>
      <c r="AM87" s="11">
        <f t="shared" si="22"/>
        <v>22528</v>
      </c>
      <c r="AN87" s="17">
        <v>163.13</v>
      </c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</row>
    <row r="88" spans="2:62" ht="16.5" customHeight="1" x14ac:dyDescent="0.35">
      <c r="B88" s="35">
        <v>256</v>
      </c>
      <c r="C88" s="11">
        <v>352</v>
      </c>
      <c r="D88" s="11">
        <f t="shared" si="18"/>
        <v>2816</v>
      </c>
      <c r="E88" s="17">
        <v>202.78</v>
      </c>
      <c r="G88" s="35">
        <v>256</v>
      </c>
      <c r="H88" s="11">
        <f t="shared" si="20"/>
        <v>352</v>
      </c>
      <c r="I88" s="11">
        <f t="shared" si="19"/>
        <v>5632</v>
      </c>
      <c r="J88" s="17">
        <v>184.84</v>
      </c>
      <c r="L88" s="35">
        <v>256</v>
      </c>
      <c r="M88" s="11">
        <f>C84</f>
        <v>352</v>
      </c>
      <c r="N88" s="11">
        <f t="shared" si="14"/>
        <v>8448</v>
      </c>
      <c r="O88" s="17">
        <v>200.89</v>
      </c>
      <c r="Q88" s="35">
        <v>256</v>
      </c>
      <c r="R88" s="11">
        <f>C84</f>
        <v>352</v>
      </c>
      <c r="S88" s="11">
        <f t="shared" si="15"/>
        <v>11264</v>
      </c>
      <c r="T88" s="17">
        <v>163.25</v>
      </c>
      <c r="V88" s="35">
        <v>256</v>
      </c>
      <c r="W88" s="11">
        <f>C84</f>
        <v>352</v>
      </c>
      <c r="X88" s="11">
        <f t="shared" si="16"/>
        <v>14080</v>
      </c>
      <c r="Y88" s="17">
        <v>200.81</v>
      </c>
      <c r="AA88" s="35">
        <v>256</v>
      </c>
      <c r="AB88" s="11">
        <f>C84</f>
        <v>352</v>
      </c>
      <c r="AC88" s="11">
        <f t="shared" si="17"/>
        <v>16896</v>
      </c>
      <c r="AD88" s="17">
        <v>180.2</v>
      </c>
      <c r="AF88" s="35">
        <v>256</v>
      </c>
      <c r="AG88" s="11">
        <f>C84</f>
        <v>352</v>
      </c>
      <c r="AH88" s="11">
        <f t="shared" si="21"/>
        <v>19712</v>
      </c>
      <c r="AI88" s="64">
        <v>173.26</v>
      </c>
      <c r="AJ88" s="86"/>
      <c r="AK88" s="78">
        <v>256</v>
      </c>
      <c r="AL88" s="11">
        <f>C84</f>
        <v>352</v>
      </c>
      <c r="AM88" s="11">
        <f t="shared" si="22"/>
        <v>22528</v>
      </c>
      <c r="AN88" s="17">
        <v>138.68</v>
      </c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</row>
    <row r="89" spans="2:62" ht="16.5" customHeight="1" x14ac:dyDescent="0.35">
      <c r="B89" s="34">
        <v>32</v>
      </c>
      <c r="C89" s="44">
        <v>384</v>
      </c>
      <c r="D89" s="44">
        <f t="shared" si="18"/>
        <v>3072</v>
      </c>
      <c r="E89" s="16">
        <v>232.91</v>
      </c>
      <c r="G89" s="34">
        <v>32</v>
      </c>
      <c r="H89" s="44">
        <f t="shared" si="20"/>
        <v>384</v>
      </c>
      <c r="I89" s="44">
        <f t="shared" si="19"/>
        <v>6144</v>
      </c>
      <c r="J89" s="16">
        <v>233.44</v>
      </c>
      <c r="L89" s="34">
        <v>32</v>
      </c>
      <c r="M89" s="44">
        <f>C89</f>
        <v>384</v>
      </c>
      <c r="N89" s="44">
        <f t="shared" si="14"/>
        <v>9216</v>
      </c>
      <c r="O89" s="16">
        <v>221.07</v>
      </c>
      <c r="Q89" s="34">
        <v>32</v>
      </c>
      <c r="R89" s="44">
        <f>C89</f>
        <v>384</v>
      </c>
      <c r="S89" s="44">
        <f t="shared" si="15"/>
        <v>12288</v>
      </c>
      <c r="T89" s="16">
        <v>222.32</v>
      </c>
      <c r="V89" s="34">
        <v>32</v>
      </c>
      <c r="W89" s="44">
        <f>C89</f>
        <v>384</v>
      </c>
      <c r="X89" s="44">
        <f t="shared" si="16"/>
        <v>15360</v>
      </c>
      <c r="Y89" s="16">
        <v>216.13</v>
      </c>
      <c r="AA89" s="34">
        <v>32</v>
      </c>
      <c r="AB89" s="44">
        <f>C89</f>
        <v>384</v>
      </c>
      <c r="AC89" s="44">
        <f t="shared" si="17"/>
        <v>18432</v>
      </c>
      <c r="AD89" s="16">
        <v>214.92</v>
      </c>
      <c r="AF89" s="34">
        <v>32</v>
      </c>
      <c r="AG89" s="44">
        <f>C89</f>
        <v>384</v>
      </c>
      <c r="AH89" s="11">
        <f t="shared" si="21"/>
        <v>21504</v>
      </c>
      <c r="AI89" s="62">
        <v>217.43</v>
      </c>
      <c r="AJ89" s="86"/>
      <c r="AK89" s="77">
        <v>32</v>
      </c>
      <c r="AL89" s="44">
        <f>C89</f>
        <v>384</v>
      </c>
      <c r="AM89" s="11">
        <f t="shared" si="22"/>
        <v>24576</v>
      </c>
      <c r="AN89" s="16">
        <v>216.77</v>
      </c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</row>
    <row r="90" spans="2:62" ht="16.5" customHeight="1" x14ac:dyDescent="0.35">
      <c r="B90" s="35">
        <v>64</v>
      </c>
      <c r="C90" s="11">
        <v>384</v>
      </c>
      <c r="D90" s="11">
        <f t="shared" si="18"/>
        <v>3072</v>
      </c>
      <c r="E90" s="17">
        <v>232.5</v>
      </c>
      <c r="G90" s="35">
        <v>64</v>
      </c>
      <c r="H90" s="11">
        <f t="shared" si="20"/>
        <v>384</v>
      </c>
      <c r="I90" s="11">
        <f t="shared" si="19"/>
        <v>6144</v>
      </c>
      <c r="J90" s="17">
        <v>237.46</v>
      </c>
      <c r="L90" s="35">
        <v>64</v>
      </c>
      <c r="M90" s="11">
        <f>C89</f>
        <v>384</v>
      </c>
      <c r="N90" s="11">
        <f t="shared" si="14"/>
        <v>9216</v>
      </c>
      <c r="O90" s="17">
        <v>220.4</v>
      </c>
      <c r="Q90" s="35">
        <v>64</v>
      </c>
      <c r="R90" s="11">
        <f>C89</f>
        <v>384</v>
      </c>
      <c r="S90" s="11">
        <f t="shared" si="15"/>
        <v>12288</v>
      </c>
      <c r="T90" s="17">
        <v>227.75</v>
      </c>
      <c r="V90" s="35">
        <v>64</v>
      </c>
      <c r="W90" s="11">
        <f>C89</f>
        <v>384</v>
      </c>
      <c r="X90" s="11">
        <f t="shared" si="16"/>
        <v>15360</v>
      </c>
      <c r="Y90" s="17">
        <v>220.29</v>
      </c>
      <c r="AA90" s="35">
        <v>64</v>
      </c>
      <c r="AB90" s="11">
        <f>C89</f>
        <v>384</v>
      </c>
      <c r="AC90" s="11">
        <f t="shared" si="17"/>
        <v>18432</v>
      </c>
      <c r="AD90" s="17">
        <v>218.1</v>
      </c>
      <c r="AF90" s="35">
        <v>64</v>
      </c>
      <c r="AG90" s="11">
        <f>C89</f>
        <v>384</v>
      </c>
      <c r="AH90" s="11">
        <f t="shared" si="21"/>
        <v>21504</v>
      </c>
      <c r="AI90" s="64">
        <v>218.46</v>
      </c>
      <c r="AJ90" s="86"/>
      <c r="AK90" s="78">
        <v>64</v>
      </c>
      <c r="AL90" s="11">
        <f>C89</f>
        <v>384</v>
      </c>
      <c r="AM90" s="11">
        <f t="shared" si="22"/>
        <v>24576</v>
      </c>
      <c r="AN90" s="17">
        <v>218.84</v>
      </c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</row>
    <row r="91" spans="2:62" ht="16.5" customHeight="1" x14ac:dyDescent="0.35">
      <c r="B91" s="35">
        <v>96</v>
      </c>
      <c r="C91" s="11">
        <v>384</v>
      </c>
      <c r="D91" s="11">
        <f t="shared" si="18"/>
        <v>3072</v>
      </c>
      <c r="E91" s="17">
        <v>232.28</v>
      </c>
      <c r="G91" s="35">
        <v>96</v>
      </c>
      <c r="H91" s="11">
        <f t="shared" si="20"/>
        <v>384</v>
      </c>
      <c r="I91" s="11">
        <f t="shared" si="19"/>
        <v>6144</v>
      </c>
      <c r="J91" s="17">
        <v>240.07</v>
      </c>
      <c r="L91" s="35">
        <v>96</v>
      </c>
      <c r="M91" s="11">
        <f>C89</f>
        <v>384</v>
      </c>
      <c r="N91" s="11">
        <f t="shared" si="14"/>
        <v>9216</v>
      </c>
      <c r="O91" s="17">
        <v>221.07</v>
      </c>
      <c r="Q91" s="35">
        <v>96</v>
      </c>
      <c r="R91" s="11">
        <f>C89</f>
        <v>384</v>
      </c>
      <c r="S91" s="11">
        <f t="shared" si="15"/>
        <v>12288</v>
      </c>
      <c r="T91" s="17">
        <v>228.71</v>
      </c>
      <c r="V91" s="35">
        <v>96</v>
      </c>
      <c r="W91" s="11">
        <f>C89</f>
        <v>384</v>
      </c>
      <c r="X91" s="11">
        <f t="shared" si="16"/>
        <v>15360</v>
      </c>
      <c r="Y91" s="17">
        <v>220.63</v>
      </c>
      <c r="AA91" s="35">
        <v>96</v>
      </c>
      <c r="AB91" s="11">
        <f>C89</f>
        <v>384</v>
      </c>
      <c r="AC91" s="11">
        <f t="shared" si="17"/>
        <v>18432</v>
      </c>
      <c r="AD91" s="17">
        <v>219.24</v>
      </c>
      <c r="AF91" s="35">
        <v>96</v>
      </c>
      <c r="AG91" s="11">
        <f>C89</f>
        <v>384</v>
      </c>
      <c r="AH91" s="11">
        <f t="shared" si="21"/>
        <v>21504</v>
      </c>
      <c r="AI91" s="64">
        <v>218.13</v>
      </c>
      <c r="AJ91" s="86"/>
      <c r="AK91" s="78">
        <v>96</v>
      </c>
      <c r="AL91" s="11">
        <f>C89</f>
        <v>384</v>
      </c>
      <c r="AM91" s="11">
        <f t="shared" si="22"/>
        <v>24576</v>
      </c>
      <c r="AN91" s="17">
        <v>218.85</v>
      </c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</row>
    <row r="92" spans="2:62" ht="16.5" customHeight="1" x14ac:dyDescent="0.35">
      <c r="B92" s="35">
        <v>128</v>
      </c>
      <c r="C92" s="11">
        <v>384</v>
      </c>
      <c r="D92" s="11">
        <f t="shared" si="18"/>
        <v>3072</v>
      </c>
      <c r="E92" s="17">
        <v>234.46</v>
      </c>
      <c r="G92" s="35">
        <v>128</v>
      </c>
      <c r="H92" s="11">
        <f t="shared" si="20"/>
        <v>384</v>
      </c>
      <c r="I92" s="11">
        <f t="shared" si="19"/>
        <v>6144</v>
      </c>
      <c r="J92" s="17">
        <v>238.7</v>
      </c>
      <c r="L92" s="35">
        <v>128</v>
      </c>
      <c r="M92" s="11">
        <f>C89</f>
        <v>384</v>
      </c>
      <c r="N92" s="11">
        <f t="shared" si="14"/>
        <v>9216</v>
      </c>
      <c r="O92" s="17">
        <v>221.49</v>
      </c>
      <c r="Q92" s="35">
        <v>128</v>
      </c>
      <c r="R92" s="11">
        <f>C89</f>
        <v>384</v>
      </c>
      <c r="S92" s="11">
        <f t="shared" si="15"/>
        <v>12288</v>
      </c>
      <c r="T92" s="17">
        <v>228.87</v>
      </c>
      <c r="V92" s="35">
        <v>128</v>
      </c>
      <c r="W92" s="11">
        <f>C89</f>
        <v>384</v>
      </c>
      <c r="X92" s="11">
        <f t="shared" si="16"/>
        <v>15360</v>
      </c>
      <c r="Y92" s="17">
        <v>219.92</v>
      </c>
      <c r="AA92" s="35">
        <v>128</v>
      </c>
      <c r="AB92" s="11">
        <f>C89</f>
        <v>384</v>
      </c>
      <c r="AC92" s="11">
        <f t="shared" si="17"/>
        <v>18432</v>
      </c>
      <c r="AD92" s="17">
        <v>219.61</v>
      </c>
      <c r="AF92" s="35">
        <v>128</v>
      </c>
      <c r="AG92" s="11">
        <f>C89</f>
        <v>384</v>
      </c>
      <c r="AH92" s="11">
        <f t="shared" si="21"/>
        <v>21504</v>
      </c>
      <c r="AI92" s="64">
        <v>219.6</v>
      </c>
      <c r="AJ92" s="86"/>
      <c r="AK92" s="78">
        <v>128</v>
      </c>
      <c r="AL92" s="11">
        <f>C89</f>
        <v>384</v>
      </c>
      <c r="AM92" s="11">
        <f t="shared" si="22"/>
        <v>24576</v>
      </c>
      <c r="AN92" s="17">
        <v>219.28</v>
      </c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</row>
    <row r="93" spans="2:62" ht="16.5" customHeight="1" x14ac:dyDescent="0.35">
      <c r="B93" s="35">
        <v>256</v>
      </c>
      <c r="C93" s="11">
        <v>384</v>
      </c>
      <c r="D93" s="11">
        <f t="shared" si="18"/>
        <v>3072</v>
      </c>
      <c r="E93" s="17">
        <v>235.38</v>
      </c>
      <c r="G93" s="35">
        <v>256</v>
      </c>
      <c r="H93" s="11">
        <f t="shared" si="20"/>
        <v>384</v>
      </c>
      <c r="I93" s="11">
        <f t="shared" si="19"/>
        <v>6144</v>
      </c>
      <c r="J93" s="17">
        <v>239.77</v>
      </c>
      <c r="L93" s="35">
        <v>256</v>
      </c>
      <c r="M93" s="11">
        <f>C89</f>
        <v>384</v>
      </c>
      <c r="N93" s="11">
        <f t="shared" si="14"/>
        <v>9216</v>
      </c>
      <c r="O93" s="17">
        <v>222.21</v>
      </c>
      <c r="Q93" s="35">
        <v>256</v>
      </c>
      <c r="R93" s="11">
        <f>C89</f>
        <v>384</v>
      </c>
      <c r="S93" s="11">
        <f t="shared" si="15"/>
        <v>12288</v>
      </c>
      <c r="T93" s="17">
        <v>228.99</v>
      </c>
      <c r="V93" s="35">
        <v>256</v>
      </c>
      <c r="W93" s="11">
        <f>C89</f>
        <v>384</v>
      </c>
      <c r="X93" s="11">
        <f t="shared" si="16"/>
        <v>15360</v>
      </c>
      <c r="Y93" s="17">
        <v>219.98</v>
      </c>
      <c r="AA93" s="35">
        <v>256</v>
      </c>
      <c r="AB93" s="11">
        <f>C89</f>
        <v>384</v>
      </c>
      <c r="AC93" s="11">
        <f t="shared" si="17"/>
        <v>18432</v>
      </c>
      <c r="AD93" s="17">
        <v>198.96</v>
      </c>
      <c r="AF93" s="35">
        <v>256</v>
      </c>
      <c r="AG93" s="11">
        <f>C89</f>
        <v>384</v>
      </c>
      <c r="AH93" s="11">
        <f t="shared" si="21"/>
        <v>21504</v>
      </c>
      <c r="AI93" s="64">
        <v>179</v>
      </c>
      <c r="AJ93" s="86"/>
      <c r="AK93" s="78">
        <v>256</v>
      </c>
      <c r="AL93" s="11">
        <f>C89</f>
        <v>384</v>
      </c>
      <c r="AM93" s="11">
        <f t="shared" si="22"/>
        <v>24576</v>
      </c>
      <c r="AN93" s="17">
        <v>166.33</v>
      </c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</row>
    <row r="94" spans="2:62" ht="16.5" customHeight="1" x14ac:dyDescent="0.35">
      <c r="B94" s="34">
        <v>32</v>
      </c>
      <c r="C94" s="44">
        <v>416</v>
      </c>
      <c r="D94" s="44">
        <f t="shared" si="18"/>
        <v>3328</v>
      </c>
      <c r="E94" s="16">
        <v>211.42</v>
      </c>
      <c r="G94" s="34">
        <v>32</v>
      </c>
      <c r="H94" s="44">
        <f t="shared" si="20"/>
        <v>416</v>
      </c>
      <c r="I94" s="44">
        <f t="shared" si="19"/>
        <v>6656</v>
      </c>
      <c r="J94" s="16">
        <v>190.02</v>
      </c>
      <c r="L94" s="34">
        <v>32</v>
      </c>
      <c r="M94" s="44">
        <f>C94</f>
        <v>416</v>
      </c>
      <c r="N94" s="44">
        <f t="shared" si="14"/>
        <v>9984</v>
      </c>
      <c r="O94" s="16">
        <v>204.36</v>
      </c>
      <c r="Q94" s="34">
        <v>32</v>
      </c>
      <c r="R94" s="44">
        <f>C94</f>
        <v>416</v>
      </c>
      <c r="S94" s="44">
        <f t="shared" si="15"/>
        <v>13312</v>
      </c>
      <c r="T94" s="16">
        <v>155.94</v>
      </c>
      <c r="V94" s="34">
        <v>32</v>
      </c>
      <c r="W94" s="44">
        <f>C94</f>
        <v>416</v>
      </c>
      <c r="X94" s="44">
        <f t="shared" si="16"/>
        <v>16640</v>
      </c>
      <c r="Y94" s="16">
        <v>201.37</v>
      </c>
      <c r="AA94" s="34">
        <v>32</v>
      </c>
      <c r="AB94" s="44">
        <f>C94</f>
        <v>416</v>
      </c>
      <c r="AC94" s="44">
        <f t="shared" si="17"/>
        <v>19968</v>
      </c>
      <c r="AD94" s="16">
        <v>188.29</v>
      </c>
      <c r="AF94" s="34">
        <v>32</v>
      </c>
      <c r="AG94" s="44">
        <f>C94</f>
        <v>416</v>
      </c>
      <c r="AH94" s="11">
        <f t="shared" si="21"/>
        <v>23296</v>
      </c>
      <c r="AI94" s="62">
        <v>200.56</v>
      </c>
      <c r="AJ94" s="86"/>
      <c r="AK94" s="77">
        <v>32</v>
      </c>
      <c r="AL94" s="44">
        <f>C94</f>
        <v>416</v>
      </c>
      <c r="AM94" s="11">
        <f t="shared" si="22"/>
        <v>26624</v>
      </c>
      <c r="AN94" s="16">
        <v>156.4</v>
      </c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</row>
    <row r="95" spans="2:62" ht="16.5" customHeight="1" x14ac:dyDescent="0.35">
      <c r="B95" s="35">
        <v>64</v>
      </c>
      <c r="C95" s="11">
        <v>416</v>
      </c>
      <c r="D95" s="11">
        <f t="shared" si="18"/>
        <v>3328</v>
      </c>
      <c r="E95" s="17">
        <v>209.14</v>
      </c>
      <c r="G95" s="35">
        <v>64</v>
      </c>
      <c r="H95" s="11">
        <f t="shared" si="20"/>
        <v>416</v>
      </c>
      <c r="I95" s="11">
        <f t="shared" si="19"/>
        <v>6656</v>
      </c>
      <c r="J95" s="17">
        <v>187.37</v>
      </c>
      <c r="L95" s="35">
        <v>64</v>
      </c>
      <c r="M95" s="11">
        <f>C94</f>
        <v>416</v>
      </c>
      <c r="N95" s="11">
        <f t="shared" si="14"/>
        <v>9984</v>
      </c>
      <c r="O95" s="17">
        <v>203.92</v>
      </c>
      <c r="Q95" s="35">
        <v>64</v>
      </c>
      <c r="R95" s="11">
        <f>C94</f>
        <v>416</v>
      </c>
      <c r="S95" s="11">
        <f t="shared" si="15"/>
        <v>13312</v>
      </c>
      <c r="T95" s="17">
        <v>156.38999999999999</v>
      </c>
      <c r="V95" s="35">
        <v>64</v>
      </c>
      <c r="W95" s="11">
        <f>C94</f>
        <v>416</v>
      </c>
      <c r="X95" s="11">
        <f t="shared" si="16"/>
        <v>16640</v>
      </c>
      <c r="Y95" s="17">
        <v>201.18</v>
      </c>
      <c r="AA95" s="35">
        <v>64</v>
      </c>
      <c r="AB95" s="11">
        <f>C94</f>
        <v>416</v>
      </c>
      <c r="AC95" s="11">
        <f t="shared" si="17"/>
        <v>19968</v>
      </c>
      <c r="AD95" s="17">
        <v>187.31</v>
      </c>
      <c r="AF95" s="35">
        <v>64</v>
      </c>
      <c r="AG95" s="11">
        <f>C94</f>
        <v>416</v>
      </c>
      <c r="AH95" s="11">
        <f t="shared" si="21"/>
        <v>23296</v>
      </c>
      <c r="AI95" s="64">
        <v>201.08</v>
      </c>
      <c r="AJ95" s="86"/>
      <c r="AK95" s="78">
        <v>64</v>
      </c>
      <c r="AL95" s="11">
        <f>C94</f>
        <v>416</v>
      </c>
      <c r="AM95" s="11">
        <f t="shared" si="22"/>
        <v>26624</v>
      </c>
      <c r="AN95" s="17">
        <v>159.4</v>
      </c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</row>
    <row r="96" spans="2:62" ht="16.5" customHeight="1" x14ac:dyDescent="0.35">
      <c r="B96" s="35">
        <v>96</v>
      </c>
      <c r="C96" s="11">
        <v>416</v>
      </c>
      <c r="D96" s="11">
        <f t="shared" si="18"/>
        <v>3328</v>
      </c>
      <c r="E96" s="17">
        <v>207.04</v>
      </c>
      <c r="G96" s="35">
        <v>96</v>
      </c>
      <c r="H96" s="11">
        <f t="shared" si="20"/>
        <v>416</v>
      </c>
      <c r="I96" s="11">
        <f t="shared" si="19"/>
        <v>6656</v>
      </c>
      <c r="J96" s="17">
        <v>187.74</v>
      </c>
      <c r="L96" s="35">
        <v>96</v>
      </c>
      <c r="M96" s="11">
        <f>C94</f>
        <v>416</v>
      </c>
      <c r="N96" s="11">
        <f t="shared" si="14"/>
        <v>9984</v>
      </c>
      <c r="O96" s="17">
        <v>203.03</v>
      </c>
      <c r="Q96" s="35">
        <v>96</v>
      </c>
      <c r="R96" s="11">
        <f>C94</f>
        <v>416</v>
      </c>
      <c r="S96" s="11">
        <f t="shared" si="15"/>
        <v>13312</v>
      </c>
      <c r="T96" s="17">
        <v>156.19</v>
      </c>
      <c r="V96" s="35">
        <v>96</v>
      </c>
      <c r="W96" s="11">
        <f>C94</f>
        <v>416</v>
      </c>
      <c r="X96" s="11">
        <f t="shared" si="16"/>
        <v>16640</v>
      </c>
      <c r="Y96" s="17">
        <v>201.72</v>
      </c>
      <c r="AA96" s="35">
        <v>96</v>
      </c>
      <c r="AB96" s="11">
        <f>C94</f>
        <v>416</v>
      </c>
      <c r="AC96" s="11">
        <f t="shared" si="17"/>
        <v>19968</v>
      </c>
      <c r="AD96" s="17">
        <v>186.41</v>
      </c>
      <c r="AF96" s="35">
        <v>96</v>
      </c>
      <c r="AG96" s="11">
        <f>C94</f>
        <v>416</v>
      </c>
      <c r="AH96" s="11">
        <f t="shared" si="21"/>
        <v>23296</v>
      </c>
      <c r="AI96" s="64">
        <v>201.34</v>
      </c>
      <c r="AJ96" s="86"/>
      <c r="AK96" s="78">
        <v>96</v>
      </c>
      <c r="AL96" s="11">
        <f>C94</f>
        <v>416</v>
      </c>
      <c r="AM96" s="11">
        <f t="shared" si="22"/>
        <v>26624</v>
      </c>
      <c r="AN96" s="17">
        <v>156.71</v>
      </c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</row>
    <row r="97" spans="2:62" ht="16.5" customHeight="1" x14ac:dyDescent="0.35">
      <c r="B97" s="35">
        <v>128</v>
      </c>
      <c r="C97" s="11">
        <v>416</v>
      </c>
      <c r="D97" s="11">
        <f t="shared" si="18"/>
        <v>3328</v>
      </c>
      <c r="E97" s="17">
        <v>207.14</v>
      </c>
      <c r="G97" s="35">
        <v>128</v>
      </c>
      <c r="H97" s="11">
        <f t="shared" si="20"/>
        <v>416</v>
      </c>
      <c r="I97" s="11">
        <f t="shared" si="19"/>
        <v>6656</v>
      </c>
      <c r="J97" s="17">
        <v>188.32</v>
      </c>
      <c r="L97" s="35">
        <v>128</v>
      </c>
      <c r="M97" s="11">
        <f>C94</f>
        <v>416</v>
      </c>
      <c r="N97" s="11">
        <f t="shared" si="14"/>
        <v>9984</v>
      </c>
      <c r="O97" s="17">
        <v>204.69</v>
      </c>
      <c r="Q97" s="35">
        <v>128</v>
      </c>
      <c r="R97" s="11">
        <f>C94</f>
        <v>416</v>
      </c>
      <c r="S97" s="11">
        <f t="shared" si="15"/>
        <v>13312</v>
      </c>
      <c r="T97" s="17">
        <v>156.63</v>
      </c>
      <c r="V97" s="35">
        <v>128</v>
      </c>
      <c r="W97" s="11">
        <f>C94</f>
        <v>416</v>
      </c>
      <c r="X97" s="11">
        <f t="shared" si="16"/>
        <v>16640</v>
      </c>
      <c r="Y97" s="17">
        <v>202.45</v>
      </c>
      <c r="AA97" s="35">
        <v>128</v>
      </c>
      <c r="AB97" s="11">
        <f>C94</f>
        <v>416</v>
      </c>
      <c r="AC97" s="11">
        <f t="shared" si="17"/>
        <v>19968</v>
      </c>
      <c r="AD97" s="17">
        <v>187.7</v>
      </c>
      <c r="AF97" s="35">
        <v>128</v>
      </c>
      <c r="AG97" s="11">
        <f>C94</f>
        <v>416</v>
      </c>
      <c r="AH97" s="11">
        <f t="shared" si="21"/>
        <v>23296</v>
      </c>
      <c r="AI97" s="64">
        <v>202.26</v>
      </c>
      <c r="AJ97" s="86"/>
      <c r="AK97" s="78">
        <v>128</v>
      </c>
      <c r="AL97" s="11">
        <f>C94</f>
        <v>416</v>
      </c>
      <c r="AM97" s="11">
        <f t="shared" si="22"/>
        <v>26624</v>
      </c>
      <c r="AN97" s="17">
        <v>156.1</v>
      </c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</row>
    <row r="98" spans="2:62" ht="16.5" customHeight="1" x14ac:dyDescent="0.35">
      <c r="B98" s="35">
        <v>256</v>
      </c>
      <c r="C98" s="11">
        <v>416</v>
      </c>
      <c r="D98" s="11">
        <f t="shared" si="18"/>
        <v>3328</v>
      </c>
      <c r="E98" s="17">
        <v>206.3</v>
      </c>
      <c r="G98" s="35">
        <v>256</v>
      </c>
      <c r="H98" s="11">
        <f t="shared" si="20"/>
        <v>416</v>
      </c>
      <c r="I98" s="11">
        <f t="shared" si="19"/>
        <v>6656</v>
      </c>
      <c r="J98" s="17">
        <v>188.37</v>
      </c>
      <c r="L98" s="35">
        <v>256</v>
      </c>
      <c r="M98" s="11">
        <f>C94</f>
        <v>416</v>
      </c>
      <c r="N98" s="11">
        <f t="shared" si="14"/>
        <v>9984</v>
      </c>
      <c r="O98" s="17">
        <v>205.06</v>
      </c>
      <c r="Q98" s="35">
        <v>256</v>
      </c>
      <c r="R98" s="11">
        <f>C94</f>
        <v>416</v>
      </c>
      <c r="S98" s="11">
        <f t="shared" si="15"/>
        <v>13312</v>
      </c>
      <c r="T98" s="17">
        <v>156.1</v>
      </c>
      <c r="V98" s="35">
        <v>256</v>
      </c>
      <c r="W98" s="11">
        <f>C94</f>
        <v>416</v>
      </c>
      <c r="X98" s="11">
        <f t="shared" si="16"/>
        <v>16640</v>
      </c>
      <c r="Y98" s="17">
        <v>200.54</v>
      </c>
      <c r="AA98" s="35">
        <v>256</v>
      </c>
      <c r="AB98" s="11">
        <f>C94</f>
        <v>416</v>
      </c>
      <c r="AC98" s="11">
        <f t="shared" si="17"/>
        <v>19968</v>
      </c>
      <c r="AD98" s="17">
        <v>161.94</v>
      </c>
      <c r="AF98" s="35">
        <v>256</v>
      </c>
      <c r="AG98" s="11">
        <f>C94</f>
        <v>416</v>
      </c>
      <c r="AH98" s="11">
        <f t="shared" si="21"/>
        <v>23296</v>
      </c>
      <c r="AI98" s="64">
        <v>159</v>
      </c>
      <c r="AJ98" s="86"/>
      <c r="AK98" s="78">
        <v>256</v>
      </c>
      <c r="AL98" s="11">
        <f>C94</f>
        <v>416</v>
      </c>
      <c r="AM98" s="11">
        <f t="shared" si="22"/>
        <v>26624</v>
      </c>
      <c r="AN98" s="17">
        <v>133.99</v>
      </c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</row>
    <row r="99" spans="2:62" ht="16.5" customHeight="1" x14ac:dyDescent="0.35">
      <c r="B99" s="34">
        <v>32</v>
      </c>
      <c r="C99" s="44">
        <v>448</v>
      </c>
      <c r="D99" s="44">
        <f t="shared" si="18"/>
        <v>3584</v>
      </c>
      <c r="E99" s="16">
        <v>219.17</v>
      </c>
      <c r="G99" s="34">
        <v>32</v>
      </c>
      <c r="H99" s="44">
        <f t="shared" si="20"/>
        <v>448</v>
      </c>
      <c r="I99" s="44">
        <f t="shared" si="19"/>
        <v>7168</v>
      </c>
      <c r="J99" s="16">
        <v>198.2</v>
      </c>
      <c r="L99" s="34">
        <v>32</v>
      </c>
      <c r="M99" s="44">
        <f>C99</f>
        <v>448</v>
      </c>
      <c r="N99" s="44">
        <f t="shared" si="14"/>
        <v>10752</v>
      </c>
      <c r="O99" s="16">
        <v>214.78</v>
      </c>
      <c r="Q99" s="34">
        <v>32</v>
      </c>
      <c r="R99" s="44">
        <f>C99</f>
        <v>448</v>
      </c>
      <c r="S99" s="44">
        <f t="shared" si="15"/>
        <v>14336</v>
      </c>
      <c r="T99" s="16">
        <v>195.58</v>
      </c>
      <c r="V99" s="34">
        <v>32</v>
      </c>
      <c r="W99" s="44">
        <f>C99</f>
        <v>448</v>
      </c>
      <c r="X99" s="44">
        <f t="shared" si="16"/>
        <v>17920</v>
      </c>
      <c r="Y99" s="16">
        <v>213.56</v>
      </c>
      <c r="AA99" s="34">
        <v>32</v>
      </c>
      <c r="AB99" s="44">
        <f>C99</f>
        <v>448</v>
      </c>
      <c r="AC99" s="44">
        <f t="shared" si="17"/>
        <v>21504</v>
      </c>
      <c r="AD99" s="16">
        <v>195.42</v>
      </c>
      <c r="AF99" s="34">
        <v>32</v>
      </c>
      <c r="AG99" s="44">
        <f>C99</f>
        <v>448</v>
      </c>
      <c r="AH99" s="11">
        <f t="shared" si="21"/>
        <v>25088</v>
      </c>
      <c r="AI99" s="62">
        <v>215.37</v>
      </c>
      <c r="AJ99" s="86"/>
      <c r="AK99" s="77">
        <v>32</v>
      </c>
      <c r="AL99" s="44">
        <f>C99</f>
        <v>448</v>
      </c>
      <c r="AM99" s="11">
        <f t="shared" si="22"/>
        <v>28672</v>
      </c>
      <c r="AN99" s="16">
        <v>195.46</v>
      </c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</row>
    <row r="100" spans="2:62" ht="16.5" customHeight="1" x14ac:dyDescent="0.35">
      <c r="B100" s="35">
        <v>64</v>
      </c>
      <c r="C100" s="11">
        <v>448</v>
      </c>
      <c r="D100" s="11">
        <f t="shared" si="18"/>
        <v>3584</v>
      </c>
      <c r="E100" s="17">
        <v>220.56</v>
      </c>
      <c r="G100" s="35">
        <v>64</v>
      </c>
      <c r="H100" s="11">
        <f t="shared" si="20"/>
        <v>448</v>
      </c>
      <c r="I100" s="11">
        <f t="shared" si="19"/>
        <v>7168</v>
      </c>
      <c r="J100" s="17">
        <v>200.03</v>
      </c>
      <c r="L100" s="35">
        <v>64</v>
      </c>
      <c r="M100" s="11">
        <f>C99</f>
        <v>448</v>
      </c>
      <c r="N100" s="11">
        <f t="shared" si="14"/>
        <v>10752</v>
      </c>
      <c r="O100" s="17">
        <v>217.66</v>
      </c>
      <c r="Q100" s="35">
        <v>64</v>
      </c>
      <c r="R100" s="11">
        <f>C99</f>
        <v>448</v>
      </c>
      <c r="S100" s="11">
        <f t="shared" si="15"/>
        <v>14336</v>
      </c>
      <c r="T100" s="17">
        <v>196.85</v>
      </c>
      <c r="V100" s="35">
        <v>64</v>
      </c>
      <c r="W100" s="11">
        <f>C99</f>
        <v>448</v>
      </c>
      <c r="X100" s="11">
        <f t="shared" si="16"/>
        <v>17920</v>
      </c>
      <c r="Y100" s="17">
        <v>215.04</v>
      </c>
      <c r="AA100" s="35">
        <v>64</v>
      </c>
      <c r="AB100" s="11">
        <f>C99</f>
        <v>448</v>
      </c>
      <c r="AC100" s="11">
        <f t="shared" si="17"/>
        <v>21504</v>
      </c>
      <c r="AD100" s="17">
        <v>196.22</v>
      </c>
      <c r="AF100" s="35">
        <v>64</v>
      </c>
      <c r="AG100" s="11">
        <f>C99</f>
        <v>448</v>
      </c>
      <c r="AH100" s="11">
        <f t="shared" si="21"/>
        <v>25088</v>
      </c>
      <c r="AI100" s="64">
        <v>216.14</v>
      </c>
      <c r="AJ100" s="86"/>
      <c r="AK100" s="78">
        <v>64</v>
      </c>
      <c r="AL100" s="11">
        <f>C99</f>
        <v>448</v>
      </c>
      <c r="AM100" s="11">
        <f t="shared" si="22"/>
        <v>28672</v>
      </c>
      <c r="AN100" s="17">
        <v>194.26</v>
      </c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</row>
    <row r="101" spans="2:62" ht="16.5" customHeight="1" x14ac:dyDescent="0.35">
      <c r="B101" s="35">
        <v>96</v>
      </c>
      <c r="C101" s="11">
        <v>448</v>
      </c>
      <c r="D101" s="11">
        <f t="shared" si="18"/>
        <v>3584</v>
      </c>
      <c r="E101" s="17">
        <v>223.87</v>
      </c>
      <c r="G101" s="35">
        <v>96</v>
      </c>
      <c r="H101" s="11">
        <f t="shared" si="20"/>
        <v>448</v>
      </c>
      <c r="I101" s="11">
        <f t="shared" si="19"/>
        <v>7168</v>
      </c>
      <c r="J101" s="17">
        <v>200.49</v>
      </c>
      <c r="L101" s="35">
        <v>96</v>
      </c>
      <c r="M101" s="11">
        <f>C99</f>
        <v>448</v>
      </c>
      <c r="N101" s="11">
        <f t="shared" ref="N101:N111" si="23">D101*3</f>
        <v>10752</v>
      </c>
      <c r="O101" s="17">
        <v>217.89</v>
      </c>
      <c r="Q101" s="35">
        <v>96</v>
      </c>
      <c r="R101" s="11">
        <f>C99</f>
        <v>448</v>
      </c>
      <c r="S101" s="11">
        <f t="shared" ref="S101:S111" si="24">D101*4</f>
        <v>14336</v>
      </c>
      <c r="T101" s="17">
        <v>197.18</v>
      </c>
      <c r="V101" s="35">
        <v>96</v>
      </c>
      <c r="W101" s="11">
        <f>C99</f>
        <v>448</v>
      </c>
      <c r="X101" s="11">
        <f t="shared" ref="X101:X111" si="25">D101*5</f>
        <v>17920</v>
      </c>
      <c r="Y101" s="17">
        <v>215.44</v>
      </c>
      <c r="AA101" s="35">
        <v>96</v>
      </c>
      <c r="AB101" s="11">
        <f>C99</f>
        <v>448</v>
      </c>
      <c r="AC101" s="11">
        <f t="shared" ref="AC101:AC111" si="26">D101*6</f>
        <v>21504</v>
      </c>
      <c r="AD101" s="17">
        <v>195.84</v>
      </c>
      <c r="AF101" s="35">
        <v>96</v>
      </c>
      <c r="AG101" s="11">
        <f>C99</f>
        <v>448</v>
      </c>
      <c r="AH101" s="11">
        <f t="shared" si="21"/>
        <v>25088</v>
      </c>
      <c r="AI101" s="64">
        <v>216.25</v>
      </c>
      <c r="AJ101" s="86"/>
      <c r="AK101" s="78">
        <v>96</v>
      </c>
      <c r="AL101" s="11">
        <f>C99</f>
        <v>448</v>
      </c>
      <c r="AM101" s="11">
        <f t="shared" si="22"/>
        <v>28672</v>
      </c>
      <c r="AN101" s="17">
        <v>193.59</v>
      </c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</row>
    <row r="102" spans="2:62" ht="16.5" customHeight="1" x14ac:dyDescent="0.35">
      <c r="B102" s="35">
        <v>128</v>
      </c>
      <c r="C102" s="11">
        <v>448</v>
      </c>
      <c r="D102" s="11">
        <f t="shared" si="18"/>
        <v>3584</v>
      </c>
      <c r="E102" s="17">
        <v>220</v>
      </c>
      <c r="G102" s="35">
        <v>128</v>
      </c>
      <c r="H102" s="11">
        <f t="shared" si="20"/>
        <v>448</v>
      </c>
      <c r="I102" s="11">
        <f t="shared" si="19"/>
        <v>7168</v>
      </c>
      <c r="J102" s="17">
        <v>199.58</v>
      </c>
      <c r="L102" s="35">
        <v>128</v>
      </c>
      <c r="M102" s="11">
        <f>C99</f>
        <v>448</v>
      </c>
      <c r="N102" s="11">
        <f t="shared" si="23"/>
        <v>10752</v>
      </c>
      <c r="O102" s="17">
        <v>217.24</v>
      </c>
      <c r="Q102" s="35">
        <v>128</v>
      </c>
      <c r="R102" s="11">
        <f>C99</f>
        <v>448</v>
      </c>
      <c r="S102" s="11">
        <f t="shared" si="24"/>
        <v>14336</v>
      </c>
      <c r="T102" s="17">
        <v>196.96</v>
      </c>
      <c r="V102" s="35">
        <v>128</v>
      </c>
      <c r="W102" s="11">
        <f>C99</f>
        <v>448</v>
      </c>
      <c r="X102" s="11">
        <f t="shared" si="25"/>
        <v>17920</v>
      </c>
      <c r="Y102" s="17">
        <v>216.08</v>
      </c>
      <c r="AA102" s="35">
        <v>128</v>
      </c>
      <c r="AB102" s="11">
        <f>C99</f>
        <v>448</v>
      </c>
      <c r="AC102" s="11">
        <f t="shared" si="26"/>
        <v>21504</v>
      </c>
      <c r="AD102" s="17">
        <v>196.91</v>
      </c>
      <c r="AF102" s="35">
        <v>128</v>
      </c>
      <c r="AG102" s="11">
        <f>C99</f>
        <v>448</v>
      </c>
      <c r="AH102" s="11">
        <f t="shared" si="21"/>
        <v>25088</v>
      </c>
      <c r="AI102" s="64">
        <v>216.2</v>
      </c>
      <c r="AJ102" s="86"/>
      <c r="AK102" s="78">
        <v>128</v>
      </c>
      <c r="AL102" s="11">
        <f>C99</f>
        <v>448</v>
      </c>
      <c r="AM102" s="11">
        <f t="shared" si="22"/>
        <v>28672</v>
      </c>
      <c r="AN102" s="17">
        <v>193.34</v>
      </c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</row>
    <row r="103" spans="2:62" ht="16.5" customHeight="1" x14ac:dyDescent="0.35">
      <c r="B103" s="35">
        <v>256</v>
      </c>
      <c r="C103" s="11">
        <v>448</v>
      </c>
      <c r="D103" s="11">
        <f t="shared" ref="D103:D134" si="27">C103*8</f>
        <v>3584</v>
      </c>
      <c r="E103" s="17">
        <v>219.31</v>
      </c>
      <c r="G103" s="35">
        <v>256</v>
      </c>
      <c r="H103" s="11">
        <f t="shared" si="20"/>
        <v>448</v>
      </c>
      <c r="I103" s="11">
        <f t="shared" ref="I103:I134" si="28">H103*8*2</f>
        <v>7168</v>
      </c>
      <c r="J103" s="17">
        <v>199.25</v>
      </c>
      <c r="L103" s="35">
        <v>256</v>
      </c>
      <c r="M103" s="11">
        <f>C99</f>
        <v>448</v>
      </c>
      <c r="N103" s="11">
        <f t="shared" si="23"/>
        <v>10752</v>
      </c>
      <c r="O103" s="17">
        <v>218.19</v>
      </c>
      <c r="Q103" s="35">
        <v>256</v>
      </c>
      <c r="R103" s="11">
        <f>C99</f>
        <v>448</v>
      </c>
      <c r="S103" s="11">
        <f t="shared" si="24"/>
        <v>14336</v>
      </c>
      <c r="T103" s="17">
        <v>197.05</v>
      </c>
      <c r="V103" s="35">
        <v>256</v>
      </c>
      <c r="W103" s="11">
        <f>C99</f>
        <v>448</v>
      </c>
      <c r="X103" s="11">
        <f t="shared" si="25"/>
        <v>17920</v>
      </c>
      <c r="Y103" s="17">
        <v>201.85</v>
      </c>
      <c r="AA103" s="35">
        <v>256</v>
      </c>
      <c r="AB103" s="11">
        <f>C99</f>
        <v>448</v>
      </c>
      <c r="AC103" s="11">
        <f t="shared" si="26"/>
        <v>21504</v>
      </c>
      <c r="AD103" s="17">
        <v>178.41</v>
      </c>
      <c r="AF103" s="35">
        <v>256</v>
      </c>
      <c r="AG103" s="11">
        <f>C99</f>
        <v>448</v>
      </c>
      <c r="AH103" s="11">
        <f t="shared" si="21"/>
        <v>25088</v>
      </c>
      <c r="AI103" s="64">
        <v>164.43</v>
      </c>
      <c r="AJ103" s="86"/>
      <c r="AK103" s="78">
        <v>256</v>
      </c>
      <c r="AL103" s="11">
        <f>C99</f>
        <v>448</v>
      </c>
      <c r="AM103" s="11">
        <f t="shared" si="22"/>
        <v>28672</v>
      </c>
      <c r="AN103" s="17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</row>
    <row r="104" spans="2:62" ht="16.5" customHeight="1" x14ac:dyDescent="0.35">
      <c r="B104" s="34">
        <v>32</v>
      </c>
      <c r="C104" s="44">
        <v>480</v>
      </c>
      <c r="D104" s="44">
        <f t="shared" si="27"/>
        <v>3840</v>
      </c>
      <c r="E104" s="16">
        <v>228.94</v>
      </c>
      <c r="G104" s="34">
        <v>32</v>
      </c>
      <c r="H104" s="44">
        <f t="shared" si="20"/>
        <v>480</v>
      </c>
      <c r="I104" s="44">
        <f t="shared" si="28"/>
        <v>7680</v>
      </c>
      <c r="J104" s="16">
        <v>201.67</v>
      </c>
      <c r="L104" s="34">
        <v>32</v>
      </c>
      <c r="M104" s="44">
        <f>C104</f>
        <v>480</v>
      </c>
      <c r="N104" s="44">
        <f t="shared" si="23"/>
        <v>11520</v>
      </c>
      <c r="O104" s="16">
        <v>210.95</v>
      </c>
      <c r="Q104" s="34">
        <v>32</v>
      </c>
      <c r="R104" s="44">
        <f>C104</f>
        <v>480</v>
      </c>
      <c r="S104" s="44">
        <f t="shared" si="24"/>
        <v>15360</v>
      </c>
      <c r="T104" s="16">
        <v>170.71</v>
      </c>
      <c r="V104" s="34">
        <v>32</v>
      </c>
      <c r="W104" s="44">
        <f>C104</f>
        <v>480</v>
      </c>
      <c r="X104" s="44">
        <f t="shared" si="25"/>
        <v>19200</v>
      </c>
      <c r="Y104" s="16">
        <v>207.15</v>
      </c>
      <c r="AA104" s="34">
        <v>32</v>
      </c>
      <c r="AB104" s="44">
        <f>C104</f>
        <v>480</v>
      </c>
      <c r="AC104" s="44">
        <f t="shared" si="26"/>
        <v>23040</v>
      </c>
      <c r="AD104" s="16">
        <v>201.75</v>
      </c>
      <c r="AF104" s="34">
        <v>32</v>
      </c>
      <c r="AG104" s="44">
        <f>C104</f>
        <v>480</v>
      </c>
      <c r="AH104" s="11">
        <f t="shared" si="21"/>
        <v>26880</v>
      </c>
      <c r="AI104" s="62">
        <v>203.89</v>
      </c>
      <c r="AJ104" s="86"/>
      <c r="AK104" s="77">
        <v>32</v>
      </c>
      <c r="AL104" s="44">
        <f>C104</f>
        <v>480</v>
      </c>
      <c r="AM104" s="11">
        <f t="shared" si="22"/>
        <v>30720</v>
      </c>
      <c r="AN104" s="16">
        <v>171.91</v>
      </c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</row>
    <row r="105" spans="2:62" ht="16.5" customHeight="1" x14ac:dyDescent="0.35">
      <c r="B105" s="35">
        <v>64</v>
      </c>
      <c r="C105" s="11">
        <v>480</v>
      </c>
      <c r="D105" s="11">
        <f t="shared" si="27"/>
        <v>3840</v>
      </c>
      <c r="E105" s="17">
        <v>221.55</v>
      </c>
      <c r="G105" s="35">
        <v>64</v>
      </c>
      <c r="H105" s="11">
        <f t="shared" si="20"/>
        <v>480</v>
      </c>
      <c r="I105" s="11">
        <f t="shared" si="28"/>
        <v>7680</v>
      </c>
      <c r="J105" s="17">
        <v>212.68</v>
      </c>
      <c r="L105" s="35">
        <v>64</v>
      </c>
      <c r="M105" s="11">
        <f>C104</f>
        <v>480</v>
      </c>
      <c r="N105" s="11">
        <f t="shared" si="23"/>
        <v>11520</v>
      </c>
      <c r="O105" s="17">
        <v>206.96</v>
      </c>
      <c r="Q105" s="35">
        <v>64</v>
      </c>
      <c r="R105" s="11">
        <f>C104</f>
        <v>480</v>
      </c>
      <c r="S105" s="11">
        <f t="shared" si="24"/>
        <v>15360</v>
      </c>
      <c r="T105" s="17">
        <v>171.31</v>
      </c>
      <c r="V105" s="35">
        <v>64</v>
      </c>
      <c r="W105" s="11">
        <f>C104</f>
        <v>480</v>
      </c>
      <c r="X105" s="11">
        <f t="shared" si="25"/>
        <v>19200</v>
      </c>
      <c r="Y105" s="17">
        <v>205.74</v>
      </c>
      <c r="AA105" s="35">
        <v>64</v>
      </c>
      <c r="AB105" s="11">
        <f>C104</f>
        <v>480</v>
      </c>
      <c r="AC105" s="11">
        <f t="shared" si="26"/>
        <v>23040</v>
      </c>
      <c r="AD105" s="17">
        <v>204.29</v>
      </c>
      <c r="AF105" s="35">
        <v>64</v>
      </c>
      <c r="AG105" s="11">
        <f>C104</f>
        <v>480</v>
      </c>
      <c r="AH105" s="11">
        <f t="shared" si="21"/>
        <v>26880</v>
      </c>
      <c r="AI105" s="64">
        <v>206.96</v>
      </c>
      <c r="AJ105" s="86"/>
      <c r="AK105" s="78">
        <v>64</v>
      </c>
      <c r="AL105" s="11">
        <f>C104</f>
        <v>480</v>
      </c>
      <c r="AM105" s="11">
        <f t="shared" si="22"/>
        <v>30720</v>
      </c>
      <c r="AN105" s="17">
        <v>172.3</v>
      </c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</row>
    <row r="106" spans="2:62" ht="16.5" customHeight="1" x14ac:dyDescent="0.35">
      <c r="B106" s="35">
        <v>96</v>
      </c>
      <c r="C106" s="11">
        <v>480</v>
      </c>
      <c r="D106" s="11">
        <f t="shared" si="27"/>
        <v>3840</v>
      </c>
      <c r="E106" s="17">
        <v>228.44</v>
      </c>
      <c r="G106" s="35">
        <v>96</v>
      </c>
      <c r="H106" s="11">
        <f t="shared" si="20"/>
        <v>480</v>
      </c>
      <c r="I106" s="11">
        <f t="shared" si="28"/>
        <v>7680</v>
      </c>
      <c r="J106" s="17">
        <v>217.32</v>
      </c>
      <c r="L106" s="35">
        <v>96</v>
      </c>
      <c r="M106" s="11">
        <f>C104</f>
        <v>480</v>
      </c>
      <c r="N106" s="11">
        <f t="shared" si="23"/>
        <v>11520</v>
      </c>
      <c r="O106" s="17">
        <v>212.86</v>
      </c>
      <c r="Q106" s="35">
        <v>96</v>
      </c>
      <c r="R106" s="11">
        <f>C104</f>
        <v>480</v>
      </c>
      <c r="S106" s="11">
        <f t="shared" si="24"/>
        <v>15360</v>
      </c>
      <c r="T106" s="17">
        <v>171.85</v>
      </c>
      <c r="V106" s="35">
        <v>96</v>
      </c>
      <c r="W106" s="11">
        <f>C104</f>
        <v>480</v>
      </c>
      <c r="X106" s="11">
        <f t="shared" si="25"/>
        <v>19200</v>
      </c>
      <c r="Y106" s="17">
        <v>206.72</v>
      </c>
      <c r="AA106" s="35">
        <v>96</v>
      </c>
      <c r="AB106" s="11">
        <f>C104</f>
        <v>480</v>
      </c>
      <c r="AC106" s="11">
        <f t="shared" si="26"/>
        <v>23040</v>
      </c>
      <c r="AD106" s="17">
        <v>207.48</v>
      </c>
      <c r="AF106" s="35">
        <v>96</v>
      </c>
      <c r="AG106" s="11">
        <f>C104</f>
        <v>480</v>
      </c>
      <c r="AH106" s="11">
        <f t="shared" si="21"/>
        <v>26880</v>
      </c>
      <c r="AI106" s="64">
        <v>204.79</v>
      </c>
      <c r="AJ106" s="86"/>
      <c r="AK106" s="78">
        <v>96</v>
      </c>
      <c r="AL106" s="11">
        <f>C104</f>
        <v>480</v>
      </c>
      <c r="AM106" s="11">
        <f t="shared" si="22"/>
        <v>30720</v>
      </c>
      <c r="AN106" s="17">
        <v>171.88</v>
      </c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</row>
    <row r="107" spans="2:62" ht="16.5" customHeight="1" x14ac:dyDescent="0.35">
      <c r="B107" s="35">
        <v>128</v>
      </c>
      <c r="C107" s="11">
        <v>480</v>
      </c>
      <c r="D107" s="11">
        <f t="shared" si="27"/>
        <v>3840</v>
      </c>
      <c r="E107" s="17">
        <v>217.46</v>
      </c>
      <c r="G107" s="35">
        <v>128</v>
      </c>
      <c r="H107" s="11">
        <f t="shared" si="20"/>
        <v>480</v>
      </c>
      <c r="I107" s="11">
        <f t="shared" si="28"/>
        <v>7680</v>
      </c>
      <c r="J107" s="17">
        <v>213.87</v>
      </c>
      <c r="L107" s="35">
        <v>128</v>
      </c>
      <c r="M107" s="11">
        <f>C104</f>
        <v>480</v>
      </c>
      <c r="N107" s="11">
        <f t="shared" si="23"/>
        <v>11520</v>
      </c>
      <c r="O107" s="17">
        <v>207.2</v>
      </c>
      <c r="Q107" s="35">
        <v>128</v>
      </c>
      <c r="R107" s="11">
        <f>C104</f>
        <v>480</v>
      </c>
      <c r="S107" s="11">
        <f t="shared" si="24"/>
        <v>15360</v>
      </c>
      <c r="T107" s="17">
        <v>171.41</v>
      </c>
      <c r="V107" s="35">
        <v>128</v>
      </c>
      <c r="W107" s="11">
        <f>C104</f>
        <v>480</v>
      </c>
      <c r="X107" s="11">
        <f t="shared" si="25"/>
        <v>19200</v>
      </c>
      <c r="Y107" s="17">
        <v>206.71</v>
      </c>
      <c r="AA107" s="35">
        <v>128</v>
      </c>
      <c r="AB107" s="11">
        <f>C104</f>
        <v>480</v>
      </c>
      <c r="AC107" s="11">
        <f t="shared" si="26"/>
        <v>23040</v>
      </c>
      <c r="AD107" s="17">
        <v>205.04</v>
      </c>
      <c r="AF107" s="35">
        <v>128</v>
      </c>
      <c r="AG107" s="11">
        <f>C104</f>
        <v>480</v>
      </c>
      <c r="AH107" s="11">
        <f t="shared" si="21"/>
        <v>26880</v>
      </c>
      <c r="AI107" s="64">
        <v>205.79</v>
      </c>
      <c r="AJ107" s="86"/>
      <c r="AK107" s="78">
        <v>128</v>
      </c>
      <c r="AL107" s="11">
        <f>C104</f>
        <v>480</v>
      </c>
      <c r="AM107" s="11">
        <f t="shared" si="22"/>
        <v>30720</v>
      </c>
      <c r="AN107" s="17">
        <v>172.43</v>
      </c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</row>
    <row r="108" spans="2:62" ht="16.5" customHeight="1" x14ac:dyDescent="0.35">
      <c r="B108" s="34">
        <v>32</v>
      </c>
      <c r="C108" s="44">
        <v>512</v>
      </c>
      <c r="D108" s="44">
        <f t="shared" si="27"/>
        <v>4096</v>
      </c>
      <c r="E108" s="16">
        <v>250.15</v>
      </c>
      <c r="G108" s="34">
        <v>32</v>
      </c>
      <c r="H108" s="44">
        <v>512</v>
      </c>
      <c r="I108" s="44">
        <f t="shared" si="28"/>
        <v>8192</v>
      </c>
      <c r="J108" s="16">
        <v>233.95</v>
      </c>
      <c r="L108" s="34">
        <v>32</v>
      </c>
      <c r="M108" s="44">
        <v>512</v>
      </c>
      <c r="N108" s="11">
        <f t="shared" si="23"/>
        <v>12288</v>
      </c>
      <c r="O108" s="16">
        <v>221.49</v>
      </c>
      <c r="Q108" s="34">
        <v>32</v>
      </c>
      <c r="R108" s="44">
        <v>512</v>
      </c>
      <c r="S108" s="11">
        <f t="shared" si="24"/>
        <v>16384</v>
      </c>
      <c r="T108" s="16">
        <v>204.17</v>
      </c>
      <c r="V108" s="34">
        <v>32</v>
      </c>
      <c r="W108" s="44">
        <v>512</v>
      </c>
      <c r="X108" s="11">
        <f t="shared" si="25"/>
        <v>20480</v>
      </c>
      <c r="Y108" s="16">
        <v>211.09</v>
      </c>
      <c r="AA108" s="34">
        <v>32</v>
      </c>
      <c r="AB108" s="44">
        <v>512</v>
      </c>
      <c r="AC108" s="11">
        <f t="shared" si="26"/>
        <v>24576</v>
      </c>
      <c r="AD108" s="16">
        <v>219.11</v>
      </c>
      <c r="AF108" s="34">
        <v>32</v>
      </c>
      <c r="AG108" s="44">
        <v>512</v>
      </c>
      <c r="AH108" s="11">
        <v>28672</v>
      </c>
      <c r="AI108" s="62">
        <v>212.34</v>
      </c>
      <c r="AJ108" s="86"/>
      <c r="AK108" s="77">
        <v>32</v>
      </c>
      <c r="AL108" s="44">
        <v>512</v>
      </c>
      <c r="AM108" s="11">
        <v>32768</v>
      </c>
      <c r="AN108" s="16">
        <v>209.68</v>
      </c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</row>
    <row r="109" spans="2:62" ht="16.5" customHeight="1" x14ac:dyDescent="0.35">
      <c r="B109" s="35">
        <v>64</v>
      </c>
      <c r="C109" s="11">
        <v>512</v>
      </c>
      <c r="D109" s="11">
        <f t="shared" si="27"/>
        <v>4096</v>
      </c>
      <c r="E109" s="17">
        <v>235.68</v>
      </c>
      <c r="G109" s="35">
        <v>64</v>
      </c>
      <c r="H109" s="11">
        <v>512</v>
      </c>
      <c r="I109" s="11">
        <f t="shared" si="28"/>
        <v>8192</v>
      </c>
      <c r="J109" s="17">
        <v>237.3</v>
      </c>
      <c r="L109" s="35">
        <v>64</v>
      </c>
      <c r="M109" s="11">
        <v>512</v>
      </c>
      <c r="N109" s="11">
        <f t="shared" si="23"/>
        <v>12288</v>
      </c>
      <c r="O109" s="17">
        <v>223.18</v>
      </c>
      <c r="Q109" s="35">
        <v>64</v>
      </c>
      <c r="R109" s="11">
        <v>512</v>
      </c>
      <c r="S109" s="11">
        <f t="shared" si="24"/>
        <v>16384</v>
      </c>
      <c r="T109" s="17">
        <v>219.82</v>
      </c>
      <c r="V109" s="35">
        <v>64</v>
      </c>
      <c r="W109" s="11">
        <v>512</v>
      </c>
      <c r="X109" s="11">
        <f t="shared" si="25"/>
        <v>20480</v>
      </c>
      <c r="Y109" s="17">
        <v>215.87</v>
      </c>
      <c r="AA109" s="35">
        <v>64</v>
      </c>
      <c r="AB109" s="11">
        <v>512</v>
      </c>
      <c r="AC109" s="11">
        <f t="shared" si="26"/>
        <v>24576</v>
      </c>
      <c r="AD109" s="17">
        <v>215.34</v>
      </c>
      <c r="AF109" s="35">
        <v>64</v>
      </c>
      <c r="AG109" s="11">
        <v>512</v>
      </c>
      <c r="AH109" s="11">
        <v>28672</v>
      </c>
      <c r="AI109" s="64">
        <v>212.33</v>
      </c>
      <c r="AJ109" s="86"/>
      <c r="AK109" s="78">
        <v>64</v>
      </c>
      <c r="AL109" s="11">
        <v>512</v>
      </c>
      <c r="AM109" s="11">
        <v>32768</v>
      </c>
      <c r="AN109" s="17">
        <v>213.34</v>
      </c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</row>
    <row r="110" spans="2:62" ht="16.5" customHeight="1" x14ac:dyDescent="0.35">
      <c r="B110" s="35">
        <v>96</v>
      </c>
      <c r="C110" s="11">
        <v>512</v>
      </c>
      <c r="D110" s="11">
        <f t="shared" si="27"/>
        <v>4096</v>
      </c>
      <c r="E110" s="17">
        <v>255.51</v>
      </c>
      <c r="G110" s="35">
        <v>96</v>
      </c>
      <c r="H110" s="11">
        <v>512</v>
      </c>
      <c r="I110" s="11">
        <f t="shared" si="28"/>
        <v>8192</v>
      </c>
      <c r="J110" s="17">
        <v>229.14</v>
      </c>
      <c r="L110" s="35">
        <v>96</v>
      </c>
      <c r="M110" s="11">
        <v>512</v>
      </c>
      <c r="N110" s="11">
        <f t="shared" si="23"/>
        <v>12288</v>
      </c>
      <c r="O110" s="17">
        <v>223.68</v>
      </c>
      <c r="Q110" s="35">
        <v>96</v>
      </c>
      <c r="R110" s="11">
        <v>512</v>
      </c>
      <c r="S110" s="11">
        <f t="shared" si="24"/>
        <v>16384</v>
      </c>
      <c r="T110" s="17">
        <v>225.26</v>
      </c>
      <c r="V110" s="35">
        <v>96</v>
      </c>
      <c r="W110" s="11">
        <v>512</v>
      </c>
      <c r="X110" s="11">
        <f t="shared" si="25"/>
        <v>20480</v>
      </c>
      <c r="Y110" s="17">
        <v>214.4</v>
      </c>
      <c r="AA110" s="35">
        <v>96</v>
      </c>
      <c r="AB110" s="11">
        <v>512</v>
      </c>
      <c r="AC110" s="11">
        <f t="shared" si="26"/>
        <v>24576</v>
      </c>
      <c r="AD110" s="17">
        <v>206.76</v>
      </c>
      <c r="AF110" s="35">
        <v>96</v>
      </c>
      <c r="AG110" s="11">
        <v>512</v>
      </c>
      <c r="AH110" s="11">
        <v>28672</v>
      </c>
      <c r="AI110" s="64">
        <v>218.67</v>
      </c>
      <c r="AJ110" s="86"/>
      <c r="AK110" s="78">
        <v>96</v>
      </c>
      <c r="AL110" s="11">
        <v>512</v>
      </c>
      <c r="AM110" s="11">
        <v>32768</v>
      </c>
      <c r="AN110" s="17">
        <v>220.32</v>
      </c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</row>
    <row r="111" spans="2:62" ht="16.5" customHeight="1" x14ac:dyDescent="0.35">
      <c r="B111" s="26">
        <v>128</v>
      </c>
      <c r="C111" s="27">
        <v>512</v>
      </c>
      <c r="D111" s="27">
        <f t="shared" si="27"/>
        <v>4096</v>
      </c>
      <c r="E111" s="30">
        <v>247.79</v>
      </c>
      <c r="G111" s="26">
        <v>128</v>
      </c>
      <c r="H111" s="27">
        <v>512</v>
      </c>
      <c r="I111" s="27">
        <f t="shared" si="28"/>
        <v>8192</v>
      </c>
      <c r="J111" s="30">
        <v>228.71</v>
      </c>
      <c r="L111" s="26">
        <v>128</v>
      </c>
      <c r="M111" s="27">
        <v>512</v>
      </c>
      <c r="N111" s="11">
        <f t="shared" si="23"/>
        <v>12288</v>
      </c>
      <c r="O111" s="30">
        <v>230.45</v>
      </c>
      <c r="Q111" s="26">
        <v>128</v>
      </c>
      <c r="R111" s="27">
        <v>512</v>
      </c>
      <c r="S111" s="11">
        <f t="shared" si="24"/>
        <v>16384</v>
      </c>
      <c r="T111" s="30">
        <v>220.41</v>
      </c>
      <c r="V111" s="26">
        <v>128</v>
      </c>
      <c r="W111" s="27">
        <v>512</v>
      </c>
      <c r="X111" s="11">
        <f t="shared" si="25"/>
        <v>20480</v>
      </c>
      <c r="Y111" s="30">
        <v>221.5</v>
      </c>
      <c r="AA111" s="26">
        <v>128</v>
      </c>
      <c r="AB111" s="27">
        <v>512</v>
      </c>
      <c r="AC111" s="11">
        <f t="shared" si="26"/>
        <v>24576</v>
      </c>
      <c r="AD111" s="30">
        <v>211.05</v>
      </c>
      <c r="AF111" s="26">
        <v>128</v>
      </c>
      <c r="AG111" s="27">
        <v>512</v>
      </c>
      <c r="AH111" s="11">
        <v>28672</v>
      </c>
      <c r="AI111" s="75">
        <v>213.95</v>
      </c>
      <c r="AJ111" s="86"/>
      <c r="AK111" s="81">
        <v>128</v>
      </c>
      <c r="AL111" s="27">
        <v>512</v>
      </c>
      <c r="AM111" s="11">
        <v>32768</v>
      </c>
      <c r="AN111" s="30">
        <v>214.61</v>
      </c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</row>
    <row r="112" spans="2:62" ht="16.5" customHeight="1" x14ac:dyDescent="0.35">
      <c r="E112" s="4"/>
      <c r="J112" s="4"/>
      <c r="O112" s="4"/>
      <c r="T112" s="4"/>
      <c r="Y112" s="4"/>
      <c r="AD112" s="4"/>
      <c r="AI112" s="4"/>
      <c r="AJ112" s="86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</row>
    <row r="113" spans="5:62" ht="16.5" customHeight="1" x14ac:dyDescent="0.35">
      <c r="E113" s="4"/>
      <c r="J113" s="4"/>
      <c r="O113" s="4"/>
      <c r="T113" s="4"/>
      <c r="Y113" s="4"/>
      <c r="AD113" s="4"/>
      <c r="AI113" s="4"/>
      <c r="AJ113" s="86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</row>
    <row r="114" spans="5:62" ht="16.5" customHeight="1" x14ac:dyDescent="0.35">
      <c r="E114" s="4"/>
      <c r="J114" s="4"/>
      <c r="O114" s="4"/>
      <c r="T114" s="4"/>
      <c r="Y114" s="4"/>
      <c r="AD114" s="4"/>
      <c r="AI114" s="4"/>
      <c r="AJ114" s="86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</row>
    <row r="115" spans="5:62" ht="16.5" customHeight="1" x14ac:dyDescent="0.35">
      <c r="E115" s="4"/>
      <c r="J115" s="4"/>
      <c r="O115" s="4"/>
      <c r="T115" s="4"/>
      <c r="Y115" s="4"/>
      <c r="AD115" s="4"/>
      <c r="AI115" s="4"/>
      <c r="AJ115" s="86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</row>
    <row r="116" spans="5:62" ht="16.5" customHeight="1" x14ac:dyDescent="0.35">
      <c r="E116" s="4"/>
      <c r="J116" s="4"/>
      <c r="O116" s="4"/>
      <c r="T116" s="4"/>
      <c r="Y116" s="4"/>
      <c r="AD116" s="4"/>
      <c r="AI116" s="4"/>
      <c r="AJ116" s="86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</row>
    <row r="117" spans="5:62" ht="16.5" customHeight="1" x14ac:dyDescent="0.35">
      <c r="E117" s="4"/>
      <c r="J117" s="4"/>
      <c r="O117" s="4"/>
      <c r="T117" s="4"/>
      <c r="Y117" s="4"/>
      <c r="AD117" s="4"/>
      <c r="AI117" s="4"/>
      <c r="AJ117" s="86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</row>
    <row r="118" spans="5:62" ht="16.5" customHeight="1" x14ac:dyDescent="0.35">
      <c r="E118" s="4"/>
      <c r="J118" s="4"/>
      <c r="O118" s="4"/>
      <c r="T118" s="4"/>
      <c r="Y118" s="4"/>
      <c r="AD118" s="4"/>
      <c r="AI118" s="4"/>
      <c r="AJ118" s="86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</row>
    <row r="119" spans="5:62" ht="16.5" customHeight="1" x14ac:dyDescent="0.35">
      <c r="E119" s="4"/>
      <c r="J119" s="4"/>
      <c r="O119" s="4"/>
      <c r="T119" s="4"/>
      <c r="Y119" s="4"/>
      <c r="AD119" s="4"/>
      <c r="AI119" s="4"/>
      <c r="AJ119" s="86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</row>
    <row r="120" spans="5:62" ht="16.5" customHeight="1" x14ac:dyDescent="0.35">
      <c r="E120" s="4"/>
      <c r="J120" s="4"/>
      <c r="O120" s="4"/>
      <c r="T120" s="4"/>
      <c r="Y120" s="4"/>
      <c r="AD120" s="4"/>
      <c r="AI120" s="4"/>
      <c r="AJ120" s="86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</row>
    <row r="121" spans="5:62" ht="16.5" customHeight="1" x14ac:dyDescent="0.35">
      <c r="E121" s="4"/>
      <c r="J121" s="4"/>
      <c r="O121" s="4"/>
      <c r="T121" s="4"/>
      <c r="Y121" s="4"/>
      <c r="AD121" s="4"/>
      <c r="AI121" s="4"/>
      <c r="AJ121" s="86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</row>
    <row r="122" spans="5:62" ht="16.5" customHeight="1" x14ac:dyDescent="0.35">
      <c r="E122" s="4"/>
      <c r="J122" s="4"/>
      <c r="O122" s="4"/>
      <c r="T122" s="4"/>
      <c r="Y122" s="4"/>
      <c r="AD122" s="4"/>
      <c r="AI122" s="4"/>
      <c r="AJ122" s="86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</row>
    <row r="123" spans="5:62" ht="16.5" customHeight="1" x14ac:dyDescent="0.35">
      <c r="E123" s="4"/>
      <c r="J123" s="4"/>
      <c r="O123" s="4"/>
      <c r="T123" s="4"/>
      <c r="Y123" s="4"/>
      <c r="AD123" s="4"/>
      <c r="AI123" s="4"/>
      <c r="AJ123" s="86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</row>
    <row r="124" spans="5:62" ht="16.5" customHeight="1" x14ac:dyDescent="0.35">
      <c r="E124" s="4"/>
      <c r="J124" s="4"/>
      <c r="O124" s="4"/>
      <c r="T124" s="4"/>
      <c r="Y124" s="4"/>
      <c r="AD124" s="4"/>
      <c r="AI124" s="4"/>
      <c r="AJ124" s="86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</row>
    <row r="125" spans="5:62" ht="16.5" customHeight="1" x14ac:dyDescent="0.35">
      <c r="E125" s="4"/>
      <c r="J125" s="4"/>
      <c r="O125" s="4"/>
      <c r="T125" s="4"/>
      <c r="Y125" s="4"/>
      <c r="AD125" s="4"/>
      <c r="AI125" s="4"/>
      <c r="AJ125" s="86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</row>
    <row r="126" spans="5:62" ht="16.5" customHeight="1" x14ac:dyDescent="0.35">
      <c r="E126" s="4"/>
      <c r="J126" s="4"/>
      <c r="O126" s="4"/>
      <c r="T126" s="4"/>
      <c r="Y126" s="4"/>
      <c r="AD126" s="4"/>
      <c r="AI126" s="4"/>
      <c r="AJ126" s="86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</row>
    <row r="127" spans="5:62" ht="16.5" customHeight="1" x14ac:dyDescent="0.35">
      <c r="E127" s="4"/>
      <c r="J127" s="4"/>
      <c r="O127" s="4"/>
      <c r="T127" s="4"/>
      <c r="Y127" s="4"/>
      <c r="AD127" s="4"/>
      <c r="AI127" s="4"/>
      <c r="AJ127" s="86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</row>
    <row r="128" spans="5:62" ht="16.5" customHeight="1" x14ac:dyDescent="0.35">
      <c r="E128" s="4"/>
      <c r="J128" s="4"/>
      <c r="O128" s="4"/>
      <c r="T128" s="4"/>
      <c r="Y128" s="4"/>
      <c r="AD128" s="4"/>
      <c r="AI128" s="4"/>
      <c r="AJ128" s="86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</row>
    <row r="129" spans="5:62" ht="16.5" customHeight="1" x14ac:dyDescent="0.35">
      <c r="E129" s="4"/>
      <c r="J129" s="4"/>
      <c r="O129" s="4"/>
      <c r="T129" s="4"/>
      <c r="Y129" s="4"/>
      <c r="AD129" s="4"/>
      <c r="AI129" s="4"/>
      <c r="AJ129" s="86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</row>
    <row r="130" spans="5:62" ht="16.5" customHeight="1" x14ac:dyDescent="0.35">
      <c r="E130" s="4"/>
      <c r="J130" s="4"/>
      <c r="O130" s="4"/>
      <c r="T130" s="4"/>
      <c r="Y130" s="4"/>
      <c r="AD130" s="4"/>
      <c r="AI130" s="4"/>
      <c r="AJ130" s="86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</row>
    <row r="131" spans="5:62" ht="16.5" customHeight="1" x14ac:dyDescent="0.35">
      <c r="E131" s="4"/>
      <c r="J131" s="4"/>
      <c r="O131" s="4"/>
      <c r="T131" s="4"/>
      <c r="Y131" s="4"/>
      <c r="AD131" s="4"/>
      <c r="AI131" s="4"/>
      <c r="AJ131" s="86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</row>
    <row r="132" spans="5:62" ht="16.5" customHeight="1" x14ac:dyDescent="0.35">
      <c r="E132" s="4"/>
      <c r="J132" s="4"/>
      <c r="O132" s="4"/>
      <c r="T132" s="4"/>
      <c r="Y132" s="4"/>
      <c r="AD132" s="4"/>
      <c r="AI132" s="4"/>
      <c r="AJ132" s="86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</row>
    <row r="133" spans="5:62" ht="16.5" customHeight="1" x14ac:dyDescent="0.35">
      <c r="E133" s="4"/>
      <c r="J133" s="4"/>
      <c r="O133" s="4"/>
      <c r="T133" s="4"/>
      <c r="Y133" s="4"/>
      <c r="AD133" s="4"/>
      <c r="AI133" s="4"/>
      <c r="AJ133" s="86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</row>
    <row r="134" spans="5:62" ht="16.5" customHeight="1" x14ac:dyDescent="0.35">
      <c r="E134" s="4"/>
      <c r="J134" s="4"/>
      <c r="O134" s="4"/>
      <c r="T134" s="4"/>
      <c r="Y134" s="4"/>
      <c r="AD134" s="4"/>
      <c r="AI134" s="4"/>
      <c r="AJ134" s="86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</row>
    <row r="135" spans="5:62" ht="16.5" customHeight="1" x14ac:dyDescent="0.35">
      <c r="E135" s="4"/>
      <c r="J135" s="4"/>
      <c r="O135" s="4"/>
      <c r="T135" s="4"/>
      <c r="Y135" s="4"/>
      <c r="AD135" s="4"/>
      <c r="AI135" s="4"/>
      <c r="AJ135" s="86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</row>
    <row r="136" spans="5:62" ht="16.5" customHeight="1" x14ac:dyDescent="0.35">
      <c r="E136" s="4"/>
      <c r="J136" s="4"/>
      <c r="O136" s="4"/>
      <c r="T136" s="4"/>
      <c r="Y136" s="4"/>
      <c r="AD136" s="4"/>
      <c r="AI136" s="4"/>
      <c r="AJ136" s="86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</row>
    <row r="137" spans="5:62" ht="16.5" customHeight="1" x14ac:dyDescent="0.35">
      <c r="E137" s="4"/>
      <c r="J137" s="4"/>
      <c r="O137" s="4"/>
      <c r="T137" s="4"/>
      <c r="Y137" s="4"/>
      <c r="AD137" s="4"/>
      <c r="AI137" s="4"/>
      <c r="AJ137" s="86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</row>
    <row r="138" spans="5:62" ht="16.5" customHeight="1" x14ac:dyDescent="0.35">
      <c r="E138" s="4"/>
      <c r="J138" s="4"/>
      <c r="O138" s="4"/>
      <c r="T138" s="4"/>
      <c r="Y138" s="4"/>
      <c r="AD138" s="4"/>
      <c r="AI138" s="4"/>
      <c r="AJ138" s="86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</row>
    <row r="139" spans="5:62" ht="16.5" customHeight="1" x14ac:dyDescent="0.35">
      <c r="E139" s="4"/>
      <c r="J139" s="4"/>
      <c r="O139" s="4"/>
      <c r="T139" s="4"/>
      <c r="Y139" s="4"/>
      <c r="AD139" s="4"/>
      <c r="AI139" s="4"/>
      <c r="AJ139" s="86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</row>
    <row r="140" spans="5:62" ht="16.5" customHeight="1" x14ac:dyDescent="0.35">
      <c r="E140" s="4"/>
      <c r="J140" s="4"/>
      <c r="O140" s="4"/>
      <c r="T140" s="4"/>
      <c r="Y140" s="4"/>
      <c r="AD140" s="4"/>
      <c r="AI140" s="4"/>
      <c r="AJ140" s="86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</row>
    <row r="141" spans="5:62" ht="16.5" customHeight="1" x14ac:dyDescent="0.35">
      <c r="E141" s="4"/>
      <c r="J141" s="4"/>
      <c r="O141" s="4"/>
      <c r="T141" s="4"/>
      <c r="Y141" s="4"/>
      <c r="AD141" s="4"/>
      <c r="AI141" s="4"/>
      <c r="AJ141" s="86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</row>
    <row r="142" spans="5:62" ht="16.5" customHeight="1" x14ac:dyDescent="0.35">
      <c r="E142" s="4"/>
      <c r="J142" s="4"/>
      <c r="O142" s="4"/>
      <c r="T142" s="4"/>
      <c r="Y142" s="4"/>
      <c r="AD142" s="4"/>
      <c r="AI142" s="4"/>
      <c r="AJ142" s="86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</row>
    <row r="143" spans="5:62" ht="16.5" customHeight="1" x14ac:dyDescent="0.35">
      <c r="E143" s="4"/>
      <c r="J143" s="4"/>
      <c r="O143" s="4"/>
      <c r="T143" s="4"/>
      <c r="Y143" s="4"/>
      <c r="AD143" s="4"/>
      <c r="AI143" s="4"/>
      <c r="AJ143" s="86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</row>
    <row r="144" spans="5:62" ht="16.5" customHeight="1" x14ac:dyDescent="0.35">
      <c r="E144" s="4"/>
      <c r="J144" s="4"/>
      <c r="O144" s="4"/>
      <c r="T144" s="4"/>
      <c r="Y144" s="4"/>
      <c r="AD144" s="4"/>
      <c r="AI144" s="4"/>
      <c r="AJ144" s="86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</row>
    <row r="145" spans="5:62" ht="16.5" customHeight="1" x14ac:dyDescent="0.35">
      <c r="E145" s="4"/>
      <c r="J145" s="4"/>
      <c r="O145" s="4"/>
      <c r="T145" s="4"/>
      <c r="Y145" s="4"/>
      <c r="AD145" s="4"/>
      <c r="AI145" s="4"/>
      <c r="AJ145" s="86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</row>
    <row r="146" spans="5:62" ht="16.5" customHeight="1" x14ac:dyDescent="0.35">
      <c r="E146" s="4"/>
      <c r="J146" s="4"/>
      <c r="O146" s="4"/>
      <c r="T146" s="4"/>
      <c r="Y146" s="4"/>
      <c r="AD146" s="4"/>
      <c r="AI146" s="4"/>
      <c r="AJ146" s="86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</row>
    <row r="147" spans="5:62" ht="16.5" customHeight="1" x14ac:dyDescent="0.35">
      <c r="E147" s="4"/>
      <c r="J147" s="4"/>
      <c r="O147" s="4"/>
      <c r="T147" s="4"/>
      <c r="Y147" s="4"/>
      <c r="AD147" s="4"/>
      <c r="AI147" s="4"/>
      <c r="AJ147" s="86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</row>
    <row r="148" spans="5:62" ht="16.5" customHeight="1" x14ac:dyDescent="0.35">
      <c r="E148" s="4"/>
      <c r="J148" s="4"/>
      <c r="O148" s="4"/>
      <c r="T148" s="4"/>
      <c r="Y148" s="4"/>
      <c r="AD148" s="4"/>
      <c r="AI148" s="4"/>
      <c r="AJ148" s="86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</row>
    <row r="149" spans="5:62" ht="16.5" customHeight="1" x14ac:dyDescent="0.35">
      <c r="E149" s="4"/>
      <c r="J149" s="4"/>
      <c r="O149" s="4"/>
      <c r="T149" s="4"/>
      <c r="Y149" s="4"/>
      <c r="AD149" s="4"/>
      <c r="AI149" s="4"/>
      <c r="AJ149" s="86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</row>
    <row r="150" spans="5:62" ht="16.5" customHeight="1" x14ac:dyDescent="0.35">
      <c r="E150" s="4"/>
      <c r="J150" s="4"/>
      <c r="O150" s="4"/>
      <c r="T150" s="4"/>
      <c r="Y150" s="4"/>
      <c r="AD150" s="4"/>
      <c r="AI150" s="4"/>
      <c r="AJ150" s="86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</row>
    <row r="151" spans="5:62" ht="16.5" customHeight="1" x14ac:dyDescent="0.35">
      <c r="E151" s="4"/>
      <c r="J151" s="4"/>
      <c r="O151" s="4"/>
      <c r="T151" s="4"/>
      <c r="Y151" s="4"/>
      <c r="AD151" s="4"/>
      <c r="AI151" s="4"/>
      <c r="AJ151" s="86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</row>
    <row r="152" spans="5:62" ht="16.5" customHeight="1" x14ac:dyDescent="0.35">
      <c r="E152" s="4"/>
      <c r="J152" s="4"/>
      <c r="O152" s="4"/>
      <c r="T152" s="4"/>
      <c r="Y152" s="4"/>
      <c r="AD152" s="4"/>
      <c r="AI152" s="4"/>
      <c r="AJ152" s="86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</row>
    <row r="153" spans="5:62" ht="16.5" customHeight="1" x14ac:dyDescent="0.35">
      <c r="E153" s="4"/>
      <c r="J153" s="4"/>
      <c r="O153" s="4"/>
      <c r="T153" s="4"/>
      <c r="Y153" s="4"/>
      <c r="AD153" s="4"/>
      <c r="AI153" s="4"/>
      <c r="AJ153" s="86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</row>
    <row r="154" spans="5:62" ht="16.5" customHeight="1" x14ac:dyDescent="0.35">
      <c r="E154" s="4"/>
      <c r="J154" s="4"/>
      <c r="O154" s="4"/>
      <c r="T154" s="4"/>
      <c r="Y154" s="4"/>
      <c r="AD154" s="4"/>
      <c r="AI154" s="4"/>
      <c r="AJ154" s="86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</row>
    <row r="155" spans="5:62" ht="16.5" customHeight="1" x14ac:dyDescent="0.35">
      <c r="E155" s="4"/>
      <c r="J155" s="4"/>
      <c r="O155" s="4"/>
      <c r="T155" s="4"/>
      <c r="Y155" s="4"/>
      <c r="AD155" s="4"/>
      <c r="AI155" s="4"/>
      <c r="AJ155" s="86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</row>
    <row r="156" spans="5:62" ht="16.5" customHeight="1" x14ac:dyDescent="0.35">
      <c r="E156" s="4"/>
      <c r="J156" s="4"/>
      <c r="O156" s="4"/>
      <c r="T156" s="4"/>
      <c r="Y156" s="4"/>
      <c r="AD156" s="4"/>
      <c r="AI156" s="4"/>
      <c r="AJ156" s="86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</row>
    <row r="157" spans="5:62" ht="16.5" customHeight="1" x14ac:dyDescent="0.35">
      <c r="E157" s="4"/>
      <c r="J157" s="4"/>
      <c r="O157" s="4"/>
      <c r="T157" s="4"/>
      <c r="Y157" s="4"/>
      <c r="AD157" s="4"/>
      <c r="AI157" s="4"/>
      <c r="AJ157" s="86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</row>
    <row r="158" spans="5:62" ht="16.5" customHeight="1" x14ac:dyDescent="0.35">
      <c r="E158" s="4"/>
      <c r="J158" s="4"/>
      <c r="O158" s="4"/>
      <c r="T158" s="4"/>
      <c r="Y158" s="4"/>
      <c r="AD158" s="4"/>
      <c r="AI158" s="4"/>
      <c r="AJ158" s="86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</row>
    <row r="159" spans="5:62" ht="16.5" customHeight="1" x14ac:dyDescent="0.35">
      <c r="E159" s="4"/>
      <c r="J159" s="4"/>
      <c r="O159" s="4"/>
      <c r="T159" s="4"/>
      <c r="Y159" s="4"/>
      <c r="AD159" s="4"/>
      <c r="AI159" s="4"/>
      <c r="AJ159" s="86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</row>
    <row r="160" spans="5:62" ht="16.5" customHeight="1" x14ac:dyDescent="0.35">
      <c r="E160" s="4"/>
      <c r="J160" s="4"/>
      <c r="O160" s="4"/>
      <c r="T160" s="4"/>
      <c r="Y160" s="4"/>
      <c r="AD160" s="4"/>
      <c r="AI160" s="4"/>
      <c r="AJ160" s="86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</row>
    <row r="161" spans="5:62" ht="16.5" customHeight="1" x14ac:dyDescent="0.35">
      <c r="E161" s="4"/>
      <c r="J161" s="4"/>
      <c r="O161" s="4"/>
      <c r="T161" s="4"/>
      <c r="Y161" s="4"/>
      <c r="AD161" s="4"/>
      <c r="AI161" s="4"/>
      <c r="AJ161" s="86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</row>
    <row r="162" spans="5:62" ht="16.5" customHeight="1" x14ac:dyDescent="0.35">
      <c r="E162" s="4"/>
      <c r="J162" s="4"/>
      <c r="O162" s="4"/>
      <c r="T162" s="4"/>
      <c r="Y162" s="4"/>
      <c r="AD162" s="4"/>
      <c r="AI162" s="4"/>
      <c r="AJ162" s="86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</row>
    <row r="163" spans="5:62" ht="16.5" customHeight="1" x14ac:dyDescent="0.35">
      <c r="E163" s="4"/>
      <c r="J163" s="4"/>
      <c r="O163" s="4"/>
      <c r="T163" s="4"/>
      <c r="Y163" s="4"/>
      <c r="AD163" s="4"/>
      <c r="AI163" s="4"/>
      <c r="AJ163" s="86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</row>
    <row r="164" spans="5:62" ht="16.5" customHeight="1" x14ac:dyDescent="0.35">
      <c r="E164" s="4"/>
      <c r="J164" s="4"/>
      <c r="O164" s="4"/>
      <c r="T164" s="4"/>
      <c r="Y164" s="4"/>
      <c r="AD164" s="4"/>
      <c r="AI164" s="4"/>
      <c r="AJ164" s="86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</row>
    <row r="165" spans="5:62" ht="16.5" customHeight="1" x14ac:dyDescent="0.35">
      <c r="E165" s="4"/>
      <c r="J165" s="4"/>
      <c r="O165" s="4"/>
      <c r="T165" s="4"/>
      <c r="Y165" s="4"/>
      <c r="AD165" s="4"/>
      <c r="AI165" s="4"/>
      <c r="AJ165" s="86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</row>
    <row r="166" spans="5:62" ht="16.5" customHeight="1" x14ac:dyDescent="0.35">
      <c r="E166" s="4"/>
      <c r="J166" s="4"/>
      <c r="O166" s="4"/>
      <c r="T166" s="4"/>
      <c r="Y166" s="4"/>
      <c r="AD166" s="4"/>
      <c r="AI166" s="4"/>
      <c r="AJ166" s="86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</row>
    <row r="167" spans="5:62" ht="16.5" customHeight="1" x14ac:dyDescent="0.35">
      <c r="E167" s="4"/>
      <c r="J167" s="4"/>
      <c r="O167" s="4"/>
      <c r="T167" s="4"/>
      <c r="Y167" s="4"/>
      <c r="AD167" s="4"/>
      <c r="AI167" s="4"/>
      <c r="AJ167" s="86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</row>
    <row r="168" spans="5:62" ht="16.5" customHeight="1" x14ac:dyDescent="0.35">
      <c r="E168" s="4"/>
      <c r="J168" s="4"/>
      <c r="O168" s="4"/>
      <c r="T168" s="4"/>
      <c r="Y168" s="4"/>
      <c r="AD168" s="4"/>
      <c r="AI168" s="4"/>
      <c r="AJ168" s="86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</row>
    <row r="169" spans="5:62" ht="16.5" customHeight="1" x14ac:dyDescent="0.35">
      <c r="E169" s="4"/>
      <c r="J169" s="4"/>
      <c r="O169" s="4"/>
      <c r="T169" s="4"/>
      <c r="Y169" s="4"/>
      <c r="AD169" s="4"/>
      <c r="AI169" s="4"/>
      <c r="AJ169" s="86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</row>
    <row r="170" spans="5:62" ht="16.5" customHeight="1" x14ac:dyDescent="0.35">
      <c r="E170" s="4"/>
      <c r="J170" s="4"/>
      <c r="O170" s="4"/>
      <c r="T170" s="4"/>
      <c r="Y170" s="4"/>
      <c r="AD170" s="4"/>
      <c r="AI170" s="4"/>
      <c r="AJ170" s="86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</row>
    <row r="171" spans="5:62" ht="16.5" customHeight="1" x14ac:dyDescent="0.35">
      <c r="E171" s="4"/>
      <c r="J171" s="4"/>
      <c r="O171" s="4"/>
      <c r="T171" s="4"/>
      <c r="Y171" s="4"/>
      <c r="AD171" s="4"/>
      <c r="AI171" s="4"/>
      <c r="AJ171" s="86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</row>
    <row r="172" spans="5:62" ht="16.5" customHeight="1" x14ac:dyDescent="0.35">
      <c r="E172" s="4"/>
      <c r="J172" s="4"/>
      <c r="O172" s="4"/>
      <c r="T172" s="4"/>
      <c r="Y172" s="4"/>
      <c r="AD172" s="4"/>
      <c r="AI172" s="4"/>
      <c r="AJ172" s="86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</row>
    <row r="173" spans="5:62" ht="16.5" customHeight="1" x14ac:dyDescent="0.35">
      <c r="E173" s="4"/>
      <c r="J173" s="4"/>
      <c r="O173" s="4"/>
      <c r="T173" s="4"/>
      <c r="Y173" s="4"/>
      <c r="AD173" s="4"/>
      <c r="AI173" s="4"/>
      <c r="AJ173" s="86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</row>
    <row r="174" spans="5:62" ht="16.5" customHeight="1" x14ac:dyDescent="0.35">
      <c r="E174" s="4"/>
      <c r="J174" s="4"/>
      <c r="O174" s="4"/>
      <c r="T174" s="4"/>
      <c r="Y174" s="4"/>
      <c r="AD174" s="4"/>
      <c r="AI174" s="4"/>
      <c r="AJ174" s="86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</row>
    <row r="175" spans="5:62" ht="16.5" customHeight="1" x14ac:dyDescent="0.35">
      <c r="E175" s="4"/>
      <c r="J175" s="4"/>
      <c r="O175" s="4"/>
      <c r="T175" s="4"/>
      <c r="Y175" s="4"/>
      <c r="AD175" s="4"/>
      <c r="AI175" s="4"/>
      <c r="AJ175" s="86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</row>
    <row r="176" spans="5:62" ht="16.5" customHeight="1" x14ac:dyDescent="0.35">
      <c r="E176" s="4"/>
      <c r="J176" s="4"/>
      <c r="O176" s="4"/>
      <c r="T176" s="4"/>
      <c r="Y176" s="4"/>
      <c r="AD176" s="4"/>
      <c r="AI176" s="4"/>
      <c r="AJ176" s="86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</row>
    <row r="177" spans="5:62" ht="16.5" customHeight="1" x14ac:dyDescent="0.35">
      <c r="E177" s="4"/>
      <c r="J177" s="4"/>
      <c r="O177" s="4"/>
      <c r="T177" s="4"/>
      <c r="Y177" s="4"/>
      <c r="AD177" s="4"/>
      <c r="AI177" s="4"/>
      <c r="AJ177" s="86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</row>
    <row r="178" spans="5:62" ht="16.5" customHeight="1" x14ac:dyDescent="0.35">
      <c r="E178" s="4"/>
      <c r="J178" s="4"/>
      <c r="O178" s="4"/>
      <c r="T178" s="4"/>
      <c r="Y178" s="4"/>
      <c r="AD178" s="4"/>
      <c r="AI178" s="4"/>
      <c r="AJ178" s="86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</row>
    <row r="179" spans="5:62" ht="16.5" customHeight="1" x14ac:dyDescent="0.35">
      <c r="E179" s="4"/>
      <c r="J179" s="4"/>
      <c r="O179" s="4"/>
      <c r="T179" s="4"/>
      <c r="Y179" s="4"/>
      <c r="AD179" s="4"/>
      <c r="AI179" s="4"/>
      <c r="AJ179" s="86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</row>
    <row r="180" spans="5:62" ht="16.5" customHeight="1" x14ac:dyDescent="0.35">
      <c r="E180" s="4"/>
      <c r="J180" s="4"/>
      <c r="O180" s="4"/>
      <c r="T180" s="4"/>
      <c r="Y180" s="4"/>
      <c r="AD180" s="4"/>
      <c r="AI180" s="4"/>
      <c r="AJ180" s="86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</row>
    <row r="181" spans="5:62" ht="16.5" customHeight="1" x14ac:dyDescent="0.35">
      <c r="E181" s="4"/>
      <c r="J181" s="4"/>
      <c r="O181" s="4"/>
      <c r="T181" s="4"/>
      <c r="Y181" s="4"/>
      <c r="AD181" s="4"/>
      <c r="AI181" s="4"/>
      <c r="AJ181" s="86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</row>
    <row r="182" spans="5:62" ht="16.5" customHeight="1" x14ac:dyDescent="0.35">
      <c r="E182" s="4"/>
      <c r="J182" s="4"/>
      <c r="O182" s="4"/>
      <c r="T182" s="4"/>
      <c r="Y182" s="4"/>
      <c r="AD182" s="4"/>
      <c r="AI182" s="4"/>
      <c r="AJ182" s="86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</row>
    <row r="183" spans="5:62" ht="16.5" customHeight="1" x14ac:dyDescent="0.35">
      <c r="E183" s="4"/>
      <c r="J183" s="4"/>
      <c r="O183" s="4"/>
      <c r="T183" s="4"/>
      <c r="Y183" s="4"/>
      <c r="AD183" s="4"/>
      <c r="AI183" s="4"/>
      <c r="AJ183" s="86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</row>
    <row r="184" spans="5:62" ht="16.5" customHeight="1" x14ac:dyDescent="0.35">
      <c r="E184" s="4"/>
      <c r="J184" s="4"/>
      <c r="O184" s="4"/>
      <c r="T184" s="4"/>
      <c r="Y184" s="4"/>
      <c r="AD184" s="4"/>
      <c r="AI184" s="4"/>
      <c r="AJ184" s="86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</row>
    <row r="185" spans="5:62" ht="16.5" customHeight="1" x14ac:dyDescent="0.35">
      <c r="E185" s="4"/>
      <c r="J185" s="4"/>
      <c r="O185" s="4"/>
      <c r="T185" s="4"/>
      <c r="Y185" s="4"/>
      <c r="AD185" s="4"/>
      <c r="AI185" s="4"/>
      <c r="AJ185" s="86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</row>
    <row r="186" spans="5:62" ht="16.5" customHeight="1" x14ac:dyDescent="0.35">
      <c r="E186" s="4"/>
      <c r="J186" s="4"/>
      <c r="O186" s="4"/>
      <c r="T186" s="4"/>
      <c r="Y186" s="4"/>
      <c r="AD186" s="4"/>
      <c r="AI186" s="4"/>
      <c r="AJ186" s="86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</row>
    <row r="187" spans="5:62" ht="16.5" customHeight="1" x14ac:dyDescent="0.35">
      <c r="E187" s="4"/>
      <c r="J187" s="4"/>
      <c r="O187" s="4"/>
      <c r="T187" s="4"/>
      <c r="Y187" s="4"/>
      <c r="AD187" s="4"/>
      <c r="AI187" s="4"/>
      <c r="AJ187" s="86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</row>
    <row r="188" spans="5:62" ht="16.5" customHeight="1" x14ac:dyDescent="0.35">
      <c r="E188" s="4"/>
      <c r="J188" s="4"/>
      <c r="O188" s="4"/>
      <c r="T188" s="4"/>
      <c r="Y188" s="4"/>
      <c r="AD188" s="4"/>
      <c r="AI188" s="4"/>
      <c r="AJ188" s="86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</row>
    <row r="189" spans="5:62" ht="16.5" customHeight="1" x14ac:dyDescent="0.35">
      <c r="E189" s="4"/>
      <c r="J189" s="4"/>
      <c r="O189" s="4"/>
      <c r="T189" s="4"/>
      <c r="Y189" s="4"/>
      <c r="AD189" s="4"/>
      <c r="AI189" s="4"/>
      <c r="AJ189" s="86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</row>
    <row r="190" spans="5:62" ht="16.5" customHeight="1" x14ac:dyDescent="0.35">
      <c r="E190" s="4"/>
      <c r="J190" s="4"/>
      <c r="O190" s="4"/>
      <c r="T190" s="4"/>
      <c r="Y190" s="4"/>
      <c r="AD190" s="4"/>
      <c r="AI190" s="4"/>
      <c r="AJ190" s="86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</row>
    <row r="191" spans="5:62" ht="16.5" customHeight="1" x14ac:dyDescent="0.35">
      <c r="E191" s="4"/>
      <c r="J191" s="4"/>
      <c r="O191" s="4"/>
      <c r="T191" s="4"/>
      <c r="Y191" s="4"/>
      <c r="AD191" s="4"/>
      <c r="AI191" s="4"/>
      <c r="AJ191" s="86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</row>
    <row r="192" spans="5:62" ht="16.5" customHeight="1" x14ac:dyDescent="0.35">
      <c r="E192" s="4"/>
      <c r="J192" s="4"/>
      <c r="O192" s="4"/>
      <c r="T192" s="4"/>
      <c r="Y192" s="4"/>
      <c r="AD192" s="4"/>
      <c r="AI192" s="4"/>
      <c r="AJ192" s="86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</row>
    <row r="193" spans="5:62" ht="16.5" customHeight="1" x14ac:dyDescent="0.35">
      <c r="E193" s="4"/>
      <c r="J193" s="4"/>
      <c r="O193" s="4"/>
      <c r="T193" s="4"/>
      <c r="Y193" s="4"/>
      <c r="AD193" s="4"/>
      <c r="AI193" s="4"/>
      <c r="AJ193" s="86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</row>
    <row r="194" spans="5:62" ht="16.5" customHeight="1" x14ac:dyDescent="0.35">
      <c r="E194" s="4"/>
      <c r="J194" s="4"/>
      <c r="O194" s="4"/>
      <c r="T194" s="4"/>
      <c r="Y194" s="4"/>
      <c r="AD194" s="4"/>
      <c r="AI194" s="4"/>
      <c r="AJ194" s="86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</row>
    <row r="195" spans="5:62" ht="16.5" customHeight="1" x14ac:dyDescent="0.35">
      <c r="E195" s="4"/>
      <c r="J195" s="4"/>
      <c r="O195" s="4"/>
      <c r="T195" s="4"/>
      <c r="Y195" s="4"/>
      <c r="AD195" s="4"/>
      <c r="AI195" s="4"/>
      <c r="AJ195" s="86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</row>
    <row r="196" spans="5:62" ht="16.5" customHeight="1" x14ac:dyDescent="0.35">
      <c r="E196" s="4"/>
      <c r="J196" s="4"/>
      <c r="O196" s="4"/>
      <c r="T196" s="4"/>
      <c r="Y196" s="4"/>
      <c r="AD196" s="4"/>
      <c r="AI196" s="4"/>
      <c r="AJ196" s="86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</row>
    <row r="197" spans="5:62" ht="16.5" customHeight="1" x14ac:dyDescent="0.35">
      <c r="E197" s="4"/>
      <c r="J197" s="4"/>
      <c r="O197" s="4"/>
      <c r="T197" s="4"/>
      <c r="Y197" s="4"/>
      <c r="AD197" s="4"/>
      <c r="AI197" s="4"/>
      <c r="AJ197" s="86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</row>
    <row r="198" spans="5:62" ht="16.5" customHeight="1" x14ac:dyDescent="0.35">
      <c r="E198" s="4"/>
      <c r="J198" s="4"/>
      <c r="O198" s="4"/>
      <c r="T198" s="4"/>
      <c r="Y198" s="4"/>
      <c r="AD198" s="4"/>
      <c r="AI198" s="4"/>
      <c r="AJ198" s="86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</row>
    <row r="199" spans="5:62" ht="16.5" customHeight="1" x14ac:dyDescent="0.35">
      <c r="E199" s="4"/>
      <c r="J199" s="4"/>
      <c r="O199" s="4"/>
      <c r="T199" s="4"/>
      <c r="Y199" s="4"/>
      <c r="AD199" s="4"/>
      <c r="AI199" s="4"/>
      <c r="AJ199" s="86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</row>
    <row r="200" spans="5:62" ht="16.5" customHeight="1" x14ac:dyDescent="0.35">
      <c r="E200" s="4"/>
      <c r="J200" s="4"/>
      <c r="O200" s="4"/>
      <c r="T200" s="4"/>
      <c r="Y200" s="4"/>
      <c r="AD200" s="4"/>
      <c r="AI200" s="4"/>
      <c r="AJ200" s="86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</row>
    <row r="201" spans="5:62" ht="16.5" customHeight="1" x14ac:dyDescent="0.35">
      <c r="E201" s="4"/>
      <c r="J201" s="4"/>
      <c r="O201" s="4"/>
      <c r="T201" s="4"/>
      <c r="Y201" s="4"/>
      <c r="AD201" s="4"/>
      <c r="AI201" s="4"/>
      <c r="AJ201" s="86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</row>
    <row r="202" spans="5:62" ht="16.5" customHeight="1" x14ac:dyDescent="0.35">
      <c r="E202" s="4"/>
      <c r="J202" s="4"/>
      <c r="O202" s="4"/>
      <c r="T202" s="4"/>
      <c r="Y202" s="4"/>
      <c r="AD202" s="4"/>
      <c r="AI202" s="4"/>
      <c r="AJ202" s="86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</row>
    <row r="203" spans="5:62" ht="16.5" customHeight="1" x14ac:dyDescent="0.35">
      <c r="E203" s="4"/>
      <c r="J203" s="4"/>
      <c r="O203" s="4"/>
      <c r="T203" s="4"/>
      <c r="Y203" s="4"/>
      <c r="AD203" s="4"/>
      <c r="AI203" s="4"/>
      <c r="AJ203" s="86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</row>
    <row r="204" spans="5:62" ht="16.5" customHeight="1" x14ac:dyDescent="0.35">
      <c r="E204" s="4"/>
      <c r="J204" s="4"/>
      <c r="O204" s="4"/>
      <c r="T204" s="4"/>
      <c r="Y204" s="4"/>
      <c r="AD204" s="4"/>
      <c r="AI204" s="4"/>
      <c r="AJ204" s="86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</row>
    <row r="205" spans="5:62" ht="16.5" customHeight="1" x14ac:dyDescent="0.35">
      <c r="E205" s="4"/>
      <c r="J205" s="4"/>
      <c r="O205" s="4"/>
      <c r="T205" s="4"/>
      <c r="Y205" s="4"/>
      <c r="AD205" s="4"/>
      <c r="AI205" s="4"/>
      <c r="AJ205" s="86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</row>
    <row r="206" spans="5:62" ht="16.5" customHeight="1" x14ac:dyDescent="0.35">
      <c r="E206" s="4"/>
      <c r="J206" s="4"/>
      <c r="O206" s="4"/>
      <c r="T206" s="4"/>
      <c r="Y206" s="4"/>
      <c r="AD206" s="4"/>
      <c r="AI206" s="4"/>
      <c r="AJ206" s="86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</row>
    <row r="207" spans="5:62" ht="16.5" customHeight="1" x14ac:dyDescent="0.35">
      <c r="E207" s="4"/>
      <c r="J207" s="4"/>
      <c r="O207" s="4"/>
      <c r="T207" s="4"/>
      <c r="Y207" s="4"/>
      <c r="AD207" s="4"/>
      <c r="AI207" s="4"/>
      <c r="AJ207" s="86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</row>
    <row r="208" spans="5:62" ht="16.5" customHeight="1" x14ac:dyDescent="0.35">
      <c r="E208" s="4"/>
      <c r="J208" s="4"/>
      <c r="O208" s="4"/>
      <c r="T208" s="4"/>
      <c r="Y208" s="4"/>
      <c r="AD208" s="4"/>
      <c r="AI208" s="4"/>
      <c r="AJ208" s="86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</row>
    <row r="209" spans="5:62" ht="16.5" customHeight="1" x14ac:dyDescent="0.35">
      <c r="E209" s="4"/>
      <c r="J209" s="4"/>
      <c r="O209" s="4"/>
      <c r="T209" s="4"/>
      <c r="Y209" s="4"/>
      <c r="AD209" s="4"/>
      <c r="AI209" s="4"/>
      <c r="AJ209" s="86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</row>
    <row r="210" spans="5:62" ht="16.5" customHeight="1" x14ac:dyDescent="0.35">
      <c r="E210" s="4"/>
      <c r="J210" s="4"/>
      <c r="O210" s="4"/>
      <c r="T210" s="4"/>
      <c r="Y210" s="4"/>
      <c r="AD210" s="4"/>
      <c r="AI210" s="4"/>
      <c r="AJ210" s="86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</row>
    <row r="211" spans="5:62" ht="16.5" customHeight="1" x14ac:dyDescent="0.35">
      <c r="E211" s="4"/>
      <c r="J211" s="4"/>
      <c r="O211" s="4"/>
      <c r="T211" s="4"/>
      <c r="Y211" s="4"/>
      <c r="AD211" s="4"/>
      <c r="AI211" s="4"/>
      <c r="AJ211" s="86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</row>
    <row r="212" spans="5:62" ht="16.5" customHeight="1" x14ac:dyDescent="0.35">
      <c r="E212" s="4"/>
      <c r="J212" s="4"/>
      <c r="O212" s="4"/>
      <c r="T212" s="4"/>
      <c r="Y212" s="4"/>
      <c r="AD212" s="4"/>
      <c r="AI212" s="4"/>
      <c r="AJ212" s="86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</row>
    <row r="213" spans="5:62" ht="16.5" customHeight="1" x14ac:dyDescent="0.35">
      <c r="E213" s="4"/>
      <c r="J213" s="4"/>
      <c r="O213" s="4"/>
      <c r="T213" s="4"/>
      <c r="Y213" s="4"/>
      <c r="AD213" s="4"/>
      <c r="AI213" s="4"/>
      <c r="AJ213" s="86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</row>
    <row r="214" spans="5:62" ht="16.5" customHeight="1" x14ac:dyDescent="0.35">
      <c r="E214" s="4"/>
      <c r="J214" s="4"/>
      <c r="O214" s="4"/>
      <c r="T214" s="4"/>
      <c r="Y214" s="4"/>
      <c r="AD214" s="4"/>
      <c r="AI214" s="4"/>
      <c r="AJ214" s="86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</row>
    <row r="215" spans="5:62" ht="16.5" customHeight="1" x14ac:dyDescent="0.35">
      <c r="E215" s="4"/>
      <c r="J215" s="4"/>
      <c r="O215" s="4"/>
      <c r="T215" s="4"/>
      <c r="Y215" s="4"/>
      <c r="AD215" s="4"/>
      <c r="AI215" s="4"/>
      <c r="AJ215" s="86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</row>
    <row r="216" spans="5:62" ht="16.5" customHeight="1" x14ac:dyDescent="0.35">
      <c r="E216" s="4"/>
      <c r="J216" s="4"/>
      <c r="O216" s="4"/>
      <c r="T216" s="4"/>
      <c r="Y216" s="4"/>
      <c r="AD216" s="4"/>
      <c r="AI216" s="4"/>
      <c r="AJ216" s="86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</row>
    <row r="217" spans="5:62" ht="16.5" customHeight="1" x14ac:dyDescent="0.35">
      <c r="E217" s="4"/>
      <c r="J217" s="4"/>
      <c r="O217" s="4"/>
      <c r="T217" s="4"/>
      <c r="Y217" s="4"/>
      <c r="AD217" s="4"/>
      <c r="AI217" s="4"/>
      <c r="AJ217" s="86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</row>
    <row r="218" spans="5:62" ht="16.5" customHeight="1" x14ac:dyDescent="0.35">
      <c r="E218" s="4"/>
      <c r="J218" s="4"/>
      <c r="O218" s="4"/>
      <c r="T218" s="4"/>
      <c r="Y218" s="4"/>
      <c r="AD218" s="4"/>
      <c r="AI218" s="4"/>
      <c r="AJ218" s="86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</row>
    <row r="219" spans="5:62" ht="16.5" customHeight="1" x14ac:dyDescent="0.35">
      <c r="E219" s="4"/>
      <c r="J219" s="4"/>
      <c r="O219" s="4"/>
      <c r="T219" s="4"/>
      <c r="Y219" s="4"/>
      <c r="AD219" s="4"/>
      <c r="AI219" s="4"/>
      <c r="AJ219" s="86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</row>
    <row r="220" spans="5:62" ht="16.5" customHeight="1" x14ac:dyDescent="0.35">
      <c r="E220" s="4"/>
      <c r="J220" s="4"/>
      <c r="O220" s="4"/>
      <c r="T220" s="4"/>
      <c r="Y220" s="4"/>
      <c r="AD220" s="4"/>
      <c r="AI220" s="4"/>
      <c r="AJ220" s="86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</row>
    <row r="221" spans="5:62" ht="16.5" customHeight="1" x14ac:dyDescent="0.35">
      <c r="E221" s="4"/>
      <c r="J221" s="4"/>
      <c r="O221" s="4"/>
      <c r="T221" s="4"/>
      <c r="Y221" s="4"/>
      <c r="AD221" s="4"/>
      <c r="AI221" s="4"/>
      <c r="AJ221" s="86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</row>
    <row r="222" spans="5:62" ht="16.5" customHeight="1" x14ac:dyDescent="0.35">
      <c r="E222" s="4"/>
      <c r="J222" s="4"/>
      <c r="O222" s="4"/>
      <c r="T222" s="4"/>
      <c r="Y222" s="4"/>
      <c r="AD222" s="4"/>
      <c r="AI222" s="4"/>
      <c r="AJ222" s="86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</row>
    <row r="223" spans="5:62" ht="16.5" customHeight="1" x14ac:dyDescent="0.35">
      <c r="E223" s="4"/>
      <c r="J223" s="4"/>
      <c r="O223" s="4"/>
      <c r="T223" s="4"/>
      <c r="Y223" s="4"/>
      <c r="AD223" s="4"/>
      <c r="AI223" s="4"/>
      <c r="AJ223" s="86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</row>
    <row r="224" spans="5:62" ht="16.5" customHeight="1" x14ac:dyDescent="0.35">
      <c r="E224" s="4"/>
      <c r="J224" s="4"/>
      <c r="O224" s="4"/>
      <c r="T224" s="4"/>
      <c r="Y224" s="4"/>
      <c r="AD224" s="4"/>
      <c r="AI224" s="4"/>
      <c r="AJ224" s="86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</row>
    <row r="225" spans="5:62" ht="16.5" customHeight="1" x14ac:dyDescent="0.35">
      <c r="E225" s="4"/>
      <c r="J225" s="4"/>
      <c r="O225" s="4"/>
      <c r="T225" s="4"/>
      <c r="Y225" s="4"/>
      <c r="AD225" s="4"/>
      <c r="AI225" s="4"/>
      <c r="AJ225" s="86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</row>
    <row r="226" spans="5:62" ht="16.5" customHeight="1" x14ac:dyDescent="0.35">
      <c r="E226" s="4"/>
      <c r="J226" s="4"/>
      <c r="O226" s="4"/>
      <c r="T226" s="4"/>
      <c r="Y226" s="4"/>
      <c r="AD226" s="4"/>
      <c r="AI226" s="4"/>
      <c r="AJ226" s="86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</row>
    <row r="227" spans="5:62" ht="16.5" customHeight="1" x14ac:dyDescent="0.35">
      <c r="E227" s="4"/>
      <c r="J227" s="4"/>
      <c r="O227" s="4"/>
      <c r="T227" s="4"/>
      <c r="Y227" s="4"/>
      <c r="AD227" s="4"/>
      <c r="AI227" s="4"/>
      <c r="AJ227" s="86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</row>
    <row r="228" spans="5:62" ht="16.5" customHeight="1" x14ac:dyDescent="0.35">
      <c r="E228" s="4"/>
      <c r="J228" s="4"/>
      <c r="O228" s="4"/>
      <c r="T228" s="4"/>
      <c r="Y228" s="4"/>
      <c r="AD228" s="4"/>
      <c r="AI228" s="4"/>
      <c r="AJ228" s="86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</row>
    <row r="229" spans="5:62" ht="16.5" customHeight="1" x14ac:dyDescent="0.35">
      <c r="E229" s="4"/>
      <c r="J229" s="4"/>
      <c r="O229" s="4"/>
      <c r="T229" s="4"/>
      <c r="Y229" s="4"/>
      <c r="AD229" s="4"/>
      <c r="AI229" s="4"/>
      <c r="AJ229" s="86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</row>
    <row r="230" spans="5:62" ht="16.5" customHeight="1" x14ac:dyDescent="0.35">
      <c r="E230" s="4"/>
      <c r="J230" s="4"/>
      <c r="O230" s="4"/>
      <c r="T230" s="4"/>
      <c r="Y230" s="4"/>
      <c r="AD230" s="4"/>
      <c r="AI230" s="4"/>
      <c r="AJ230" s="86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</row>
    <row r="231" spans="5:62" ht="16.5" customHeight="1" x14ac:dyDescent="0.35">
      <c r="E231" s="4"/>
      <c r="J231" s="4"/>
      <c r="O231" s="4"/>
      <c r="T231" s="4"/>
      <c r="Y231" s="4"/>
      <c r="AD231" s="4"/>
      <c r="AI231" s="4"/>
      <c r="AJ231" s="86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</row>
    <row r="232" spans="5:62" ht="16.5" customHeight="1" x14ac:dyDescent="0.35">
      <c r="E232" s="4"/>
      <c r="J232" s="4"/>
      <c r="O232" s="4"/>
      <c r="T232" s="4"/>
      <c r="Y232" s="4"/>
      <c r="AD232" s="4"/>
      <c r="AI232" s="4"/>
      <c r="AJ232" s="86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</row>
    <row r="233" spans="5:62" ht="16.5" customHeight="1" x14ac:dyDescent="0.35">
      <c r="E233" s="4"/>
      <c r="J233" s="4"/>
      <c r="O233" s="4"/>
      <c r="T233" s="4"/>
      <c r="Y233" s="4"/>
      <c r="AD233" s="4"/>
      <c r="AI233" s="4"/>
      <c r="AJ233" s="86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</row>
    <row r="234" spans="5:62" ht="16.5" customHeight="1" x14ac:dyDescent="0.35">
      <c r="E234" s="4"/>
      <c r="J234" s="4"/>
      <c r="O234" s="4"/>
      <c r="T234" s="4"/>
      <c r="Y234" s="4"/>
      <c r="AD234" s="4"/>
      <c r="AI234" s="4"/>
      <c r="AJ234" s="86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</row>
    <row r="235" spans="5:62" ht="16.5" customHeight="1" x14ac:dyDescent="0.35">
      <c r="E235" s="4"/>
      <c r="J235" s="4"/>
      <c r="O235" s="4"/>
      <c r="T235" s="4"/>
      <c r="Y235" s="4"/>
      <c r="AD235" s="4"/>
      <c r="AI235" s="4"/>
      <c r="AJ235" s="86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</row>
    <row r="236" spans="5:62" ht="16.5" customHeight="1" x14ac:dyDescent="0.35">
      <c r="E236" s="4"/>
      <c r="J236" s="4"/>
      <c r="O236" s="4"/>
      <c r="T236" s="4"/>
      <c r="Y236" s="4"/>
      <c r="AD236" s="4"/>
      <c r="AI236" s="4"/>
      <c r="AJ236" s="86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</row>
    <row r="237" spans="5:62" ht="16.5" customHeight="1" x14ac:dyDescent="0.35">
      <c r="E237" s="4"/>
      <c r="J237" s="4"/>
      <c r="O237" s="4"/>
      <c r="T237" s="4"/>
      <c r="Y237" s="4"/>
      <c r="AD237" s="4"/>
      <c r="AI237" s="4"/>
      <c r="AJ237" s="86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</row>
    <row r="238" spans="5:62" ht="16.5" customHeight="1" x14ac:dyDescent="0.35">
      <c r="E238" s="4"/>
      <c r="J238" s="4"/>
      <c r="O238" s="4"/>
      <c r="T238" s="4"/>
      <c r="Y238" s="4"/>
      <c r="AD238" s="4"/>
      <c r="AI238" s="4"/>
      <c r="AJ238" s="86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</row>
    <row r="239" spans="5:62" ht="16.5" customHeight="1" x14ac:dyDescent="0.35">
      <c r="E239" s="4"/>
      <c r="J239" s="4"/>
      <c r="O239" s="4"/>
      <c r="T239" s="4"/>
      <c r="Y239" s="4"/>
      <c r="AD239" s="4"/>
      <c r="AI239" s="4"/>
      <c r="AJ239" s="86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</row>
    <row r="240" spans="5:62" ht="16.5" customHeight="1" x14ac:dyDescent="0.35">
      <c r="E240" s="4"/>
      <c r="J240" s="4"/>
      <c r="O240" s="4"/>
      <c r="T240" s="4"/>
      <c r="Y240" s="4"/>
      <c r="AD240" s="4"/>
      <c r="AI240" s="4"/>
      <c r="AJ240" s="86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</row>
    <row r="241" spans="5:62" ht="16.5" customHeight="1" x14ac:dyDescent="0.35">
      <c r="E241" s="4"/>
      <c r="J241" s="4"/>
      <c r="O241" s="4"/>
      <c r="T241" s="4"/>
      <c r="Y241" s="4"/>
      <c r="AD241" s="4"/>
      <c r="AI241" s="4"/>
      <c r="AJ241" s="86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</row>
    <row r="242" spans="5:62" ht="16.5" customHeight="1" x14ac:dyDescent="0.35">
      <c r="E242" s="4"/>
      <c r="J242" s="4"/>
      <c r="O242" s="4"/>
      <c r="T242" s="4"/>
      <c r="Y242" s="4"/>
      <c r="AD242" s="4"/>
      <c r="AI242" s="4"/>
      <c r="AJ242" s="86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</row>
    <row r="243" spans="5:62" ht="16.5" customHeight="1" x14ac:dyDescent="0.35">
      <c r="E243" s="4"/>
      <c r="J243" s="4"/>
      <c r="O243" s="4"/>
      <c r="T243" s="4"/>
      <c r="Y243" s="4"/>
      <c r="AD243" s="4"/>
      <c r="AI243" s="4"/>
      <c r="AJ243" s="86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</row>
    <row r="244" spans="5:62" ht="16.5" customHeight="1" x14ac:dyDescent="0.35">
      <c r="E244" s="4"/>
      <c r="J244" s="4"/>
      <c r="O244" s="4"/>
      <c r="T244" s="4"/>
      <c r="Y244" s="4"/>
      <c r="AD244" s="4"/>
      <c r="AI244" s="4"/>
      <c r="AJ244" s="86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</row>
    <row r="245" spans="5:62" ht="16.5" customHeight="1" x14ac:dyDescent="0.35">
      <c r="E245" s="4"/>
      <c r="J245" s="4"/>
      <c r="O245" s="4"/>
      <c r="T245" s="4"/>
      <c r="Y245" s="4"/>
      <c r="AD245" s="4"/>
      <c r="AI245" s="4"/>
      <c r="AJ245" s="86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</row>
    <row r="246" spans="5:62" ht="16.5" customHeight="1" x14ac:dyDescent="0.35">
      <c r="E246" s="4"/>
      <c r="J246" s="4"/>
      <c r="O246" s="4"/>
      <c r="T246" s="4"/>
      <c r="Y246" s="4"/>
      <c r="AD246" s="4"/>
      <c r="AI246" s="4"/>
      <c r="AJ246" s="86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</row>
    <row r="247" spans="5:62" ht="16.5" customHeight="1" x14ac:dyDescent="0.35">
      <c r="E247" s="4"/>
      <c r="J247" s="4"/>
      <c r="O247" s="4"/>
      <c r="T247" s="4"/>
      <c r="Y247" s="4"/>
      <c r="AD247" s="4"/>
      <c r="AI247" s="4"/>
      <c r="AJ247" s="86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</row>
    <row r="248" spans="5:62" ht="16.5" customHeight="1" x14ac:dyDescent="0.35">
      <c r="E248" s="4"/>
      <c r="J248" s="4"/>
      <c r="O248" s="4"/>
      <c r="T248" s="4"/>
      <c r="Y248" s="4"/>
      <c r="AD248" s="4"/>
      <c r="AI248" s="4"/>
      <c r="AJ248" s="86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</row>
  </sheetData>
  <mergeCells count="17">
    <mergeCell ref="AA3:AC3"/>
    <mergeCell ref="AA2:AD2"/>
    <mergeCell ref="AF3:AH3"/>
    <mergeCell ref="AF2:AI2"/>
    <mergeCell ref="AK3:AM3"/>
    <mergeCell ref="AK2:AN2"/>
    <mergeCell ref="L3:N3"/>
    <mergeCell ref="L2:O2"/>
    <mergeCell ref="Q3:S3"/>
    <mergeCell ref="Q2:T2"/>
    <mergeCell ref="V3:X3"/>
    <mergeCell ref="V2:Y2"/>
    <mergeCell ref="B3:D3"/>
    <mergeCell ref="B2:E2"/>
    <mergeCell ref="G3:I3"/>
    <mergeCell ref="G2:J2"/>
    <mergeCell ref="B1:J1"/>
  </mergeCells>
  <phoneticPr fontId="1" type="noConversion"/>
  <conditionalFormatting sqref="A2">
    <cfRule type="dataBar" priority="5">
      <dataBar>
        <cfvo type="num" val="250"/>
        <cfvo type="max"/>
        <color rgb="FF619CD3"/>
      </dataBar>
      <extLst>
        <ext xmlns:x14="http://schemas.microsoft.com/office/spreadsheetml/2009/9/main" uri="{B025F937-C7B1-47D3-B67F-A62EFF666E3E}">
          <x14:id>{8BD4F6B8-A4EB-4A9A-2E46-77D5D3034482}</x14:id>
        </ext>
      </extLst>
    </cfRule>
  </conditionalFormatting>
  <conditionalFormatting sqref="E1:E1048576 J1:J1048576 O1:O1048576 T1:T1048576 Y1:Y1048576 AD1:AD1048576 AI1:AI1048576 AN1:AN1048576">
    <cfRule type="cellIs" dxfId="2" priority="1" operator="between">
      <formula>150</formula>
      <formula>200</formula>
    </cfRule>
    <cfRule type="cellIs" dxfId="1" priority="2" operator="between">
      <formula>200</formula>
      <formula>250</formula>
    </cfRule>
    <cfRule type="cellIs" dxfId="0" priority="3" operator="greaterThanOrEqual">
      <formula>250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D4F6B8-A4EB-4A9A-2E46-77D5D3034482}">
            <x14:dataBar minLength="0" maxLength="100">
              <x14:cfvo type="num">
                <xm:f>250</xm:f>
              </x14:cfvo>
              <x14:cfvo type="max"/>
              <x14:negativeFillColor rgb="FFEA7D44"/>
              <x14:axisColor auto="1"/>
            </x14:dataBar>
          </x14:cfRule>
          <xm:sqref>A2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14C9-1AA1-4D41-887A-4192AAFEB69A}">
  <sheetPr>
    <outlinePr summaryBelow="0" summaryRight="0"/>
  </sheetPr>
  <dimension ref="A1:H97"/>
  <sheetViews>
    <sheetView workbookViewId="0">
      <pane ySplit="1" topLeftCell="A2" activePane="bottomLeft" state="frozen"/>
      <selection pane="bottomLeft"/>
    </sheetView>
  </sheetViews>
  <sheetFormatPr defaultColWidth="10" defaultRowHeight="16.5" customHeight="1" x14ac:dyDescent="0.35"/>
  <cols>
    <col min="4" max="4" width="17.3828125"/>
    <col min="8" max="8" width="11.765625"/>
  </cols>
  <sheetData>
    <row r="1" spans="1:8" ht="16.5" customHeight="1" x14ac:dyDescent="0.35">
      <c r="A1" s="18" t="s">
        <v>18</v>
      </c>
      <c r="B1" s="18" t="s">
        <v>19</v>
      </c>
      <c r="C1" s="18" t="s">
        <v>20</v>
      </c>
      <c r="D1" s="18" t="s">
        <v>21</v>
      </c>
      <c r="E1" s="18" t="s">
        <v>22</v>
      </c>
      <c r="F1" s="18" t="s">
        <v>23</v>
      </c>
      <c r="G1" s="18"/>
      <c r="H1" s="18" t="s">
        <v>24</v>
      </c>
    </row>
    <row r="2" spans="1:8" ht="16.5" customHeight="1" x14ac:dyDescent="0.35">
      <c r="A2" s="28">
        <v>1</v>
      </c>
      <c r="B2" s="29">
        <v>1000</v>
      </c>
      <c r="C2" s="29">
        <v>32</v>
      </c>
      <c r="D2" s="29">
        <v>1</v>
      </c>
      <c r="E2" s="29">
        <v>280.23480000000001</v>
      </c>
      <c r="F2" s="29">
        <v>233.86103399999999</v>
      </c>
      <c r="G2" s="29"/>
      <c r="H2" s="32">
        <v>7.4835530879999999</v>
      </c>
    </row>
    <row r="3" spans="1:8" ht="16.5" customHeight="1" x14ac:dyDescent="0.35">
      <c r="A3" s="37">
        <v>1</v>
      </c>
      <c r="B3" s="18">
        <v>1000</v>
      </c>
      <c r="C3" s="18">
        <v>64</v>
      </c>
      <c r="D3" s="18">
        <v>1</v>
      </c>
      <c r="E3" s="18">
        <v>430.60320000000002</v>
      </c>
      <c r="F3" s="18">
        <v>304.39160700000002</v>
      </c>
      <c r="G3" s="18"/>
      <c r="H3" s="39">
        <v>9.7405314240000003</v>
      </c>
    </row>
    <row r="4" spans="1:8" ht="16.5" customHeight="1" x14ac:dyDescent="0.35">
      <c r="A4" s="37">
        <v>1</v>
      </c>
      <c r="B4" s="18">
        <v>1000</v>
      </c>
      <c r="C4" s="18">
        <v>96</v>
      </c>
      <c r="D4" s="18">
        <v>1</v>
      </c>
      <c r="E4" s="18">
        <v>568.20280000000002</v>
      </c>
      <c r="F4" s="18">
        <v>346.01730199999997</v>
      </c>
      <c r="G4" s="18"/>
      <c r="H4" s="39">
        <v>11.072553660000001</v>
      </c>
    </row>
    <row r="5" spans="1:8" ht="16.5" customHeight="1" x14ac:dyDescent="0.35">
      <c r="A5" s="43">
        <v>1</v>
      </c>
      <c r="B5" s="46">
        <v>1000</v>
      </c>
      <c r="C5" s="46">
        <v>128</v>
      </c>
      <c r="D5" s="46">
        <v>1</v>
      </c>
      <c r="E5" s="46">
        <v>715.38720000000001</v>
      </c>
      <c r="F5" s="46">
        <v>366.43652600000001</v>
      </c>
      <c r="G5" s="46"/>
      <c r="H5" s="50">
        <v>11.725968829999999</v>
      </c>
    </row>
    <row r="6" spans="1:8" ht="16.5" customHeight="1" x14ac:dyDescent="0.35">
      <c r="A6" s="28">
        <v>2</v>
      </c>
      <c r="B6" s="29">
        <v>1000</v>
      </c>
      <c r="C6" s="29">
        <v>32</v>
      </c>
      <c r="D6" s="29">
        <v>1</v>
      </c>
      <c r="E6" s="29">
        <v>281.88959999999997</v>
      </c>
      <c r="F6" s="29">
        <v>464.97636</v>
      </c>
      <c r="G6" s="29"/>
      <c r="H6" s="32">
        <v>14.879243519999999</v>
      </c>
    </row>
    <row r="7" spans="1:8" ht="16.5" customHeight="1" x14ac:dyDescent="0.35">
      <c r="A7" s="37">
        <v>2</v>
      </c>
      <c r="B7" s="18">
        <v>1000</v>
      </c>
      <c r="C7" s="18">
        <v>64</v>
      </c>
      <c r="D7" s="18">
        <v>1</v>
      </c>
      <c r="E7" s="18">
        <v>429.06079999999997</v>
      </c>
      <c r="F7" s="18">
        <v>610.97168499999998</v>
      </c>
      <c r="G7" s="18"/>
      <c r="H7" s="39">
        <v>19.55109392</v>
      </c>
    </row>
    <row r="8" spans="1:8" ht="16.5" customHeight="1" x14ac:dyDescent="0.35">
      <c r="A8" s="37">
        <v>2</v>
      </c>
      <c r="B8" s="18">
        <v>1000</v>
      </c>
      <c r="C8" s="18">
        <v>96</v>
      </c>
      <c r="D8" s="18">
        <v>1</v>
      </c>
      <c r="E8" s="18">
        <v>569.85879999999997</v>
      </c>
      <c r="F8" s="18">
        <v>690.02356399999996</v>
      </c>
      <c r="G8" s="18"/>
      <c r="H8" s="39">
        <v>22.080754049999999</v>
      </c>
    </row>
    <row r="9" spans="1:8" ht="16.5" customHeight="1" x14ac:dyDescent="0.35">
      <c r="A9" s="43">
        <v>2</v>
      </c>
      <c r="B9" s="46">
        <v>1000</v>
      </c>
      <c r="C9" s="46">
        <v>128</v>
      </c>
      <c r="D9" s="46">
        <v>1</v>
      </c>
      <c r="E9" s="46">
        <v>726.86239999999998</v>
      </c>
      <c r="F9" s="46">
        <v>721.30295899999999</v>
      </c>
      <c r="G9" s="46"/>
      <c r="H9" s="50">
        <v>23.081694689999999</v>
      </c>
    </row>
    <row r="10" spans="1:8" ht="16.5" customHeight="1" x14ac:dyDescent="0.35">
      <c r="A10" s="28">
        <v>3</v>
      </c>
      <c r="B10" s="29">
        <v>1000</v>
      </c>
      <c r="C10" s="29">
        <v>32</v>
      </c>
      <c r="D10" s="29">
        <v>1</v>
      </c>
      <c r="E10" s="29">
        <v>331.48360000000002</v>
      </c>
      <c r="F10" s="29">
        <v>593.11531600000001</v>
      </c>
      <c r="G10" s="29"/>
      <c r="H10" s="32">
        <v>18.97969011</v>
      </c>
    </row>
    <row r="11" spans="1:8" ht="16.5" customHeight="1" x14ac:dyDescent="0.35">
      <c r="A11" s="37">
        <v>3</v>
      </c>
      <c r="B11" s="18">
        <v>1000</v>
      </c>
      <c r="C11" s="18">
        <v>64</v>
      </c>
      <c r="D11" s="18">
        <v>1</v>
      </c>
      <c r="E11" s="18">
        <v>465.8972</v>
      </c>
      <c r="F11" s="18">
        <v>843.997345</v>
      </c>
      <c r="G11" s="18"/>
      <c r="H11" s="39">
        <v>27.00791504</v>
      </c>
    </row>
    <row r="12" spans="1:8" ht="16.5" customHeight="1" x14ac:dyDescent="0.35">
      <c r="A12" s="37">
        <v>3</v>
      </c>
      <c r="B12" s="18">
        <v>1000</v>
      </c>
      <c r="C12" s="18">
        <v>96</v>
      </c>
      <c r="D12" s="18">
        <v>1</v>
      </c>
      <c r="E12" s="18">
        <v>588.73239999999998</v>
      </c>
      <c r="F12" s="18">
        <v>1001.854153</v>
      </c>
      <c r="G12" s="18"/>
      <c r="H12" s="39">
        <v>32.059332900000001</v>
      </c>
    </row>
    <row r="13" spans="1:8" ht="16.5" customHeight="1" x14ac:dyDescent="0.35">
      <c r="A13" s="43">
        <v>3</v>
      </c>
      <c r="B13" s="46">
        <v>1000</v>
      </c>
      <c r="C13" s="46">
        <v>128</v>
      </c>
      <c r="D13" s="46">
        <v>1</v>
      </c>
      <c r="E13" s="46">
        <v>737.5684</v>
      </c>
      <c r="F13" s="46">
        <v>1066.2495839999999</v>
      </c>
      <c r="G13" s="46"/>
      <c r="H13" s="50">
        <v>34.119986689999998</v>
      </c>
    </row>
    <row r="14" spans="1:8" ht="16.5" customHeight="1" x14ac:dyDescent="0.35">
      <c r="A14" s="28">
        <v>4</v>
      </c>
      <c r="B14" s="29">
        <v>1000</v>
      </c>
      <c r="C14" s="29">
        <v>32</v>
      </c>
      <c r="D14" s="29">
        <v>1</v>
      </c>
      <c r="E14" s="29">
        <v>380.31439999999998</v>
      </c>
      <c r="F14" s="29">
        <v>689.28234099999997</v>
      </c>
      <c r="G14" s="29"/>
      <c r="H14" s="32">
        <v>22.057034909999999</v>
      </c>
    </row>
    <row r="15" spans="1:8" ht="16.5" customHeight="1" x14ac:dyDescent="0.35">
      <c r="A15" s="37">
        <v>4</v>
      </c>
      <c r="B15" s="18">
        <v>1000</v>
      </c>
      <c r="C15" s="18">
        <v>64</v>
      </c>
      <c r="D15" s="18">
        <v>1</v>
      </c>
      <c r="E15" s="18">
        <v>517.92240000000004</v>
      </c>
      <c r="F15" s="18">
        <v>1012.290644</v>
      </c>
      <c r="G15" s="18"/>
      <c r="H15" s="39">
        <v>32.393300609999997</v>
      </c>
    </row>
    <row r="16" spans="1:8" ht="16.5" customHeight="1" x14ac:dyDescent="0.35">
      <c r="A16" s="37">
        <v>4</v>
      </c>
      <c r="B16" s="18">
        <v>1000</v>
      </c>
      <c r="C16" s="18">
        <v>96</v>
      </c>
      <c r="D16" s="18">
        <v>1</v>
      </c>
      <c r="E16" s="18">
        <v>645.94799999999998</v>
      </c>
      <c r="F16" s="18">
        <v>1217.484999</v>
      </c>
      <c r="G16" s="18"/>
      <c r="H16" s="39">
        <v>38.959519970000002</v>
      </c>
    </row>
    <row r="17" spans="1:8" ht="16.5" customHeight="1" x14ac:dyDescent="0.35">
      <c r="A17" s="43">
        <v>4</v>
      </c>
      <c r="B17" s="46">
        <v>1000</v>
      </c>
      <c r="C17" s="46">
        <v>128</v>
      </c>
      <c r="D17" s="46">
        <v>1</v>
      </c>
      <c r="E17" s="46">
        <v>787.20920000000001</v>
      </c>
      <c r="F17" s="46">
        <v>1332.0169530000001</v>
      </c>
      <c r="G17" s="46"/>
      <c r="H17" s="50">
        <v>42.624542499999997</v>
      </c>
    </row>
    <row r="18" spans="1:8" ht="16.5" customHeight="1" x14ac:dyDescent="0.35">
      <c r="A18" s="28">
        <v>5</v>
      </c>
      <c r="B18" s="29">
        <v>1000</v>
      </c>
      <c r="C18" s="29">
        <v>32</v>
      </c>
      <c r="D18" s="29">
        <v>1</v>
      </c>
      <c r="E18" s="29">
        <v>433.3252</v>
      </c>
      <c r="F18" s="29">
        <v>756.19880899999998</v>
      </c>
      <c r="G18" s="29"/>
      <c r="H18" s="32">
        <v>24.198361890000001</v>
      </c>
    </row>
    <row r="19" spans="1:8" ht="16.5" customHeight="1" x14ac:dyDescent="0.35">
      <c r="A19" s="37">
        <v>5</v>
      </c>
      <c r="B19" s="18">
        <v>1000</v>
      </c>
      <c r="C19" s="18">
        <v>64</v>
      </c>
      <c r="D19" s="18">
        <v>1</v>
      </c>
      <c r="E19" s="18">
        <v>567.55240000000003</v>
      </c>
      <c r="F19" s="18">
        <v>1154.712763</v>
      </c>
      <c r="G19" s="18"/>
      <c r="H19" s="39">
        <v>36.950808420000001</v>
      </c>
    </row>
    <row r="20" spans="1:8" ht="16.5" customHeight="1" x14ac:dyDescent="0.35">
      <c r="A20" s="37">
        <v>5</v>
      </c>
      <c r="B20" s="18">
        <v>1000</v>
      </c>
      <c r="C20" s="18">
        <v>96</v>
      </c>
      <c r="D20" s="18">
        <v>1</v>
      </c>
      <c r="E20" s="18">
        <v>689.17039999999997</v>
      </c>
      <c r="F20" s="18">
        <v>1426.4106529999999</v>
      </c>
      <c r="G20" s="18"/>
      <c r="H20" s="39">
        <v>45.645140900000001</v>
      </c>
    </row>
    <row r="21" spans="1:8" ht="16.5" customHeight="1" x14ac:dyDescent="0.35">
      <c r="A21" s="43">
        <v>5</v>
      </c>
      <c r="B21" s="46">
        <v>1000</v>
      </c>
      <c r="C21" s="46">
        <v>128</v>
      </c>
      <c r="D21" s="46">
        <v>1</v>
      </c>
      <c r="E21" s="46">
        <v>833.33600000000001</v>
      </c>
      <c r="F21" s="46">
        <v>1572.8589669999999</v>
      </c>
      <c r="G21" s="46"/>
      <c r="H21" s="50">
        <v>50.331486939999998</v>
      </c>
    </row>
    <row r="22" spans="1:8" ht="16.5" customHeight="1" x14ac:dyDescent="0.35">
      <c r="A22" s="28">
        <v>6</v>
      </c>
      <c r="B22" s="29">
        <v>1000</v>
      </c>
      <c r="C22" s="29">
        <v>32</v>
      </c>
      <c r="D22" s="29">
        <v>1</v>
      </c>
      <c r="E22" s="29">
        <v>485.1628</v>
      </c>
      <c r="F22" s="29">
        <v>810.48258399999997</v>
      </c>
      <c r="G22" s="29"/>
      <c r="H22" s="32">
        <v>25.935442689999999</v>
      </c>
    </row>
    <row r="23" spans="1:8" ht="16.5" customHeight="1" x14ac:dyDescent="0.35">
      <c r="A23" s="37">
        <v>6</v>
      </c>
      <c r="B23" s="18">
        <v>1000</v>
      </c>
      <c r="C23" s="18">
        <v>64</v>
      </c>
      <c r="D23" s="18">
        <v>1</v>
      </c>
      <c r="E23" s="18">
        <v>619.57560000000001</v>
      </c>
      <c r="F23" s="18">
        <v>1269.3075710000001</v>
      </c>
      <c r="G23" s="18"/>
      <c r="H23" s="39">
        <v>40.617842269999997</v>
      </c>
    </row>
    <row r="24" spans="1:8" ht="16.5" customHeight="1" x14ac:dyDescent="0.35">
      <c r="A24" s="37">
        <v>6</v>
      </c>
      <c r="B24" s="18">
        <v>1000</v>
      </c>
      <c r="C24" s="18">
        <v>96</v>
      </c>
      <c r="D24" s="18">
        <v>1</v>
      </c>
      <c r="E24" s="18">
        <v>738.00239999999997</v>
      </c>
      <c r="F24" s="18">
        <v>1598.433826</v>
      </c>
      <c r="G24" s="18"/>
      <c r="H24" s="39">
        <v>51.149882429999998</v>
      </c>
    </row>
    <row r="25" spans="1:8" ht="16.5" customHeight="1" x14ac:dyDescent="0.35">
      <c r="A25" s="43">
        <v>6</v>
      </c>
      <c r="B25" s="46">
        <v>1000</v>
      </c>
      <c r="C25" s="46">
        <v>128</v>
      </c>
      <c r="D25" s="46">
        <v>1</v>
      </c>
      <c r="E25" s="46">
        <v>898.15440000000001</v>
      </c>
      <c r="F25" s="46">
        <v>1751.2178309999999</v>
      </c>
      <c r="G25" s="46"/>
      <c r="H25" s="50">
        <v>56.038970589999998</v>
      </c>
    </row>
    <row r="26" spans="1:8" ht="16.5" customHeight="1" x14ac:dyDescent="0.35">
      <c r="A26" s="28">
        <v>7</v>
      </c>
      <c r="B26" s="29">
        <v>1000</v>
      </c>
      <c r="C26" s="29">
        <v>32</v>
      </c>
      <c r="D26" s="29">
        <v>1</v>
      </c>
      <c r="E26" s="29">
        <v>550.1712</v>
      </c>
      <c r="F26" s="29">
        <v>833.83499500000005</v>
      </c>
      <c r="G26" s="29"/>
      <c r="H26" s="32">
        <v>26.682719840000001</v>
      </c>
    </row>
    <row r="27" spans="1:8" ht="16.5" customHeight="1" x14ac:dyDescent="0.35">
      <c r="A27" s="37">
        <v>7</v>
      </c>
      <c r="B27" s="18">
        <v>1000</v>
      </c>
      <c r="C27" s="18">
        <v>64</v>
      </c>
      <c r="D27" s="18">
        <v>1</v>
      </c>
      <c r="E27" s="18">
        <v>669.20360000000005</v>
      </c>
      <c r="F27" s="18">
        <v>1371.03865</v>
      </c>
      <c r="G27" s="18"/>
      <c r="H27" s="39">
        <v>43.873236800000001</v>
      </c>
    </row>
    <row r="28" spans="1:8" ht="16.5" customHeight="1" x14ac:dyDescent="0.35">
      <c r="A28" s="37">
        <v>7</v>
      </c>
      <c r="B28" s="18">
        <v>1000</v>
      </c>
      <c r="C28" s="18">
        <v>96</v>
      </c>
      <c r="D28" s="18">
        <v>1</v>
      </c>
      <c r="E28" s="18">
        <v>790.84479999999996</v>
      </c>
      <c r="F28" s="18">
        <v>1740.2352519999999</v>
      </c>
      <c r="G28" s="18"/>
      <c r="H28" s="39">
        <v>55.687528059999998</v>
      </c>
    </row>
    <row r="29" spans="1:8" ht="16.5" customHeight="1" x14ac:dyDescent="0.35">
      <c r="A29" s="43">
        <v>7</v>
      </c>
      <c r="B29" s="46">
        <v>1000</v>
      </c>
      <c r="C29" s="46">
        <v>128</v>
      </c>
      <c r="D29" s="46">
        <v>1</v>
      </c>
      <c r="E29" s="46">
        <v>934.98760000000004</v>
      </c>
      <c r="F29" s="46">
        <v>1962.6014290000001</v>
      </c>
      <c r="G29" s="46"/>
      <c r="H29" s="50">
        <v>62.80324573</v>
      </c>
    </row>
    <row r="30" spans="1:8" ht="16.5" customHeight="1" x14ac:dyDescent="0.35">
      <c r="A30" s="28">
        <v>8</v>
      </c>
      <c r="B30" s="29">
        <v>1000</v>
      </c>
      <c r="C30" s="29">
        <v>32</v>
      </c>
      <c r="D30" s="29">
        <v>1</v>
      </c>
      <c r="E30" s="29">
        <v>626.77800000000002</v>
      </c>
      <c r="F30" s="29">
        <v>836.481178</v>
      </c>
      <c r="G30" s="29"/>
      <c r="H30" s="32">
        <v>26.7673977</v>
      </c>
    </row>
    <row r="31" spans="1:8" ht="16.5" customHeight="1" x14ac:dyDescent="0.35">
      <c r="A31" s="37">
        <v>8</v>
      </c>
      <c r="B31" s="18">
        <v>1000</v>
      </c>
      <c r="C31" s="18">
        <v>64</v>
      </c>
      <c r="D31" s="18">
        <v>1</v>
      </c>
      <c r="E31" s="18">
        <v>720.4316</v>
      </c>
      <c r="F31" s="18">
        <v>1455.483074</v>
      </c>
      <c r="G31" s="18"/>
      <c r="H31" s="39">
        <v>46.57545837</v>
      </c>
    </row>
    <row r="32" spans="1:8" ht="16.5" customHeight="1" x14ac:dyDescent="0.35">
      <c r="A32" s="37">
        <v>8</v>
      </c>
      <c r="B32" s="18">
        <v>1000</v>
      </c>
      <c r="C32" s="18">
        <v>96</v>
      </c>
      <c r="D32" s="18">
        <v>1</v>
      </c>
      <c r="E32" s="18">
        <v>851.64279999999997</v>
      </c>
      <c r="F32" s="18">
        <v>1846.8588</v>
      </c>
      <c r="G32" s="18"/>
      <c r="H32" s="39">
        <v>59.099481599999997</v>
      </c>
    </row>
    <row r="33" spans="1:8" ht="16.5" customHeight="1" x14ac:dyDescent="0.35">
      <c r="A33" s="43">
        <v>8</v>
      </c>
      <c r="B33" s="46">
        <v>1000</v>
      </c>
      <c r="C33" s="46">
        <v>128</v>
      </c>
      <c r="D33" s="46">
        <v>1</v>
      </c>
      <c r="E33" s="46">
        <v>999</v>
      </c>
      <c r="F33" s="46">
        <v>2099.2512510000001</v>
      </c>
      <c r="G33" s="46"/>
      <c r="H33" s="50">
        <v>67.176040029999996</v>
      </c>
    </row>
    <row r="34" spans="1:8" ht="16.5" customHeight="1" x14ac:dyDescent="0.35">
      <c r="A34" s="28">
        <v>9</v>
      </c>
      <c r="B34" s="29">
        <v>1000</v>
      </c>
      <c r="C34" s="29">
        <v>32</v>
      </c>
      <c r="D34" s="29">
        <v>1</v>
      </c>
      <c r="E34" s="29">
        <v>704.37840000000006</v>
      </c>
      <c r="F34" s="29">
        <v>837.36809600000004</v>
      </c>
      <c r="G34" s="29"/>
      <c r="H34" s="32">
        <v>26.795779069999998</v>
      </c>
    </row>
    <row r="35" spans="1:8" ht="16.5" customHeight="1" x14ac:dyDescent="0.35">
      <c r="A35" s="37">
        <v>9</v>
      </c>
      <c r="B35" s="18">
        <v>1000</v>
      </c>
      <c r="C35" s="18">
        <v>64</v>
      </c>
      <c r="D35" s="18">
        <v>1</v>
      </c>
      <c r="E35" s="18">
        <v>773.25800000000004</v>
      </c>
      <c r="F35" s="18">
        <v>1525.555507</v>
      </c>
      <c r="G35" s="18"/>
      <c r="H35" s="39">
        <v>48.817776219999999</v>
      </c>
    </row>
    <row r="36" spans="1:8" ht="16.5" customHeight="1" x14ac:dyDescent="0.35">
      <c r="A36" s="37">
        <v>9</v>
      </c>
      <c r="B36" s="18">
        <v>1000</v>
      </c>
      <c r="C36" s="18">
        <v>96</v>
      </c>
      <c r="D36" s="18">
        <v>1</v>
      </c>
      <c r="E36" s="18">
        <v>894.07839999999999</v>
      </c>
      <c r="F36" s="18">
        <v>1979.1016090000001</v>
      </c>
      <c r="G36" s="18"/>
      <c r="H36" s="39">
        <v>63.33125149</v>
      </c>
    </row>
    <row r="37" spans="1:8" ht="16.5" customHeight="1" x14ac:dyDescent="0.35">
      <c r="A37" s="43">
        <v>9</v>
      </c>
      <c r="B37" s="46">
        <v>1000</v>
      </c>
      <c r="C37" s="46">
        <v>128</v>
      </c>
      <c r="D37" s="46">
        <v>1</v>
      </c>
      <c r="E37" s="46">
        <v>1038.2791999999999</v>
      </c>
      <c r="F37" s="46">
        <v>2272.3136509999999</v>
      </c>
      <c r="G37" s="46"/>
      <c r="H37" s="50">
        <v>72.714036829999998</v>
      </c>
    </row>
    <row r="38" spans="1:8" ht="16.5" customHeight="1" x14ac:dyDescent="0.35">
      <c r="A38" s="28">
        <v>10</v>
      </c>
      <c r="B38" s="29">
        <v>1000</v>
      </c>
      <c r="C38" s="29">
        <v>32</v>
      </c>
      <c r="D38" s="29">
        <v>1</v>
      </c>
      <c r="E38" s="29"/>
      <c r="F38" s="29">
        <v>838.08027200000004</v>
      </c>
      <c r="G38" s="29"/>
      <c r="H38" s="32">
        <v>26.8185687</v>
      </c>
    </row>
    <row r="39" spans="1:8" ht="16.5" customHeight="1" x14ac:dyDescent="0.35">
      <c r="A39" s="37">
        <v>10</v>
      </c>
      <c r="B39" s="18">
        <v>1000</v>
      </c>
      <c r="C39" s="18">
        <v>64</v>
      </c>
      <c r="D39" s="18">
        <v>1</v>
      </c>
      <c r="E39" s="18">
        <v>824.48159999999996</v>
      </c>
      <c r="F39" s="18">
        <v>1589.7504570000001</v>
      </c>
      <c r="G39" s="18"/>
      <c r="H39" s="39">
        <v>50.872014620000002</v>
      </c>
    </row>
    <row r="40" spans="1:8" ht="16.5" customHeight="1" x14ac:dyDescent="0.35">
      <c r="A40" s="37">
        <v>10</v>
      </c>
      <c r="B40" s="18">
        <v>1000</v>
      </c>
      <c r="C40" s="18">
        <v>96</v>
      </c>
      <c r="D40" s="18">
        <v>1</v>
      </c>
      <c r="E40" s="18">
        <v>943.00160000000005</v>
      </c>
      <c r="F40" s="18">
        <v>2084.916929</v>
      </c>
      <c r="G40" s="18"/>
      <c r="H40" s="39">
        <v>66.717341730000001</v>
      </c>
    </row>
    <row r="41" spans="1:8" ht="16.5" customHeight="1" x14ac:dyDescent="0.35">
      <c r="A41" s="43">
        <v>10</v>
      </c>
      <c r="B41" s="46">
        <v>1000</v>
      </c>
      <c r="C41" s="46">
        <v>128</v>
      </c>
      <c r="D41" s="46">
        <v>1</v>
      </c>
      <c r="E41" s="46">
        <v>1090.3271999999999</v>
      </c>
      <c r="F41" s="46">
        <v>2404.269104</v>
      </c>
      <c r="G41" s="46"/>
      <c r="H41" s="50">
        <v>76.936611330000005</v>
      </c>
    </row>
    <row r="42" spans="1:8" ht="16.5" customHeight="1" x14ac:dyDescent="0.35">
      <c r="A42" s="28">
        <v>11</v>
      </c>
      <c r="B42" s="29">
        <v>1000</v>
      </c>
      <c r="C42" s="29">
        <v>32</v>
      </c>
      <c r="D42" s="29">
        <v>1</v>
      </c>
      <c r="E42" s="29">
        <v>859.57920000000001</v>
      </c>
      <c r="F42" s="29">
        <v>838.66152199999999</v>
      </c>
      <c r="G42" s="29"/>
      <c r="H42" s="32">
        <v>26.837168699999999</v>
      </c>
    </row>
    <row r="43" spans="1:8" ht="16.5" customHeight="1" x14ac:dyDescent="0.35">
      <c r="A43" s="37">
        <v>11</v>
      </c>
      <c r="B43" s="18">
        <v>1000</v>
      </c>
      <c r="C43" s="18">
        <v>64</v>
      </c>
      <c r="D43" s="18">
        <v>1</v>
      </c>
      <c r="E43" s="18">
        <v>876.50800000000004</v>
      </c>
      <c r="F43" s="18">
        <v>1644.927371</v>
      </c>
      <c r="G43" s="18"/>
      <c r="H43" s="39">
        <v>52.637675870000002</v>
      </c>
    </row>
    <row r="44" spans="1:8" ht="16.5" customHeight="1" x14ac:dyDescent="0.35">
      <c r="A44" s="37">
        <v>11</v>
      </c>
      <c r="B44" s="18">
        <v>1000</v>
      </c>
      <c r="C44" s="18">
        <v>96</v>
      </c>
      <c r="D44" s="18">
        <v>1</v>
      </c>
      <c r="E44" s="18">
        <v>995.75879999999995</v>
      </c>
      <c r="F44" s="18">
        <v>2171.8994600000001</v>
      </c>
      <c r="G44" s="18"/>
      <c r="H44" s="39">
        <v>69.500782720000004</v>
      </c>
    </row>
    <row r="45" spans="1:8" ht="16.5" customHeight="1" x14ac:dyDescent="0.35">
      <c r="A45" s="43">
        <v>11</v>
      </c>
      <c r="B45" s="46">
        <v>1000</v>
      </c>
      <c r="C45" s="46">
        <v>128</v>
      </c>
      <c r="D45" s="46">
        <v>1</v>
      </c>
      <c r="E45" s="46">
        <v>1141.758</v>
      </c>
      <c r="F45" s="46">
        <v>2525.5649619999999</v>
      </c>
      <c r="G45" s="46"/>
      <c r="H45" s="50">
        <v>80.818078779999993</v>
      </c>
    </row>
    <row r="46" spans="1:8" ht="16.5" customHeight="1" x14ac:dyDescent="0.35">
      <c r="A46" s="28">
        <v>12</v>
      </c>
      <c r="B46" s="29">
        <v>1000</v>
      </c>
      <c r="C46" s="29">
        <v>32</v>
      </c>
      <c r="D46" s="29">
        <v>1</v>
      </c>
      <c r="E46" s="29">
        <v>937.17920000000004</v>
      </c>
      <c r="F46" s="29">
        <v>839.14794500000005</v>
      </c>
      <c r="G46" s="29"/>
      <c r="H46" s="32">
        <v>26.85273424</v>
      </c>
    </row>
    <row r="47" spans="1:8" ht="16.5" customHeight="1" x14ac:dyDescent="0.35">
      <c r="A47" s="37">
        <v>12</v>
      </c>
      <c r="B47" s="18">
        <v>1000</v>
      </c>
      <c r="C47" s="18">
        <v>64</v>
      </c>
      <c r="D47" s="18">
        <v>1</v>
      </c>
      <c r="E47" s="18">
        <v>944.51599999999996</v>
      </c>
      <c r="F47" s="18">
        <v>1665.2592440000001</v>
      </c>
      <c r="G47" s="18"/>
      <c r="H47" s="39">
        <v>53.288295810000001</v>
      </c>
    </row>
    <row r="48" spans="1:8" ht="16.5" customHeight="1" x14ac:dyDescent="0.35">
      <c r="A48" s="37">
        <v>12</v>
      </c>
      <c r="B48" s="18">
        <v>1000</v>
      </c>
      <c r="C48" s="18">
        <v>96</v>
      </c>
      <c r="D48" s="18">
        <v>1</v>
      </c>
      <c r="E48" s="18">
        <v>1046.9684</v>
      </c>
      <c r="F48" s="18">
        <v>2253.4548319999999</v>
      </c>
      <c r="G48" s="18"/>
      <c r="H48" s="39">
        <v>72.110554620000002</v>
      </c>
    </row>
    <row r="49" spans="1:8" ht="16.5" customHeight="1" x14ac:dyDescent="0.35">
      <c r="A49" s="43">
        <v>12</v>
      </c>
      <c r="B49" s="46">
        <v>1000</v>
      </c>
      <c r="C49" s="46">
        <v>128</v>
      </c>
      <c r="D49" s="46">
        <v>1</v>
      </c>
      <c r="E49" s="46">
        <v>1230.42</v>
      </c>
      <c r="F49" s="46">
        <v>2556.6294440000001</v>
      </c>
      <c r="G49" s="46"/>
      <c r="H49" s="50">
        <v>81.812142210000005</v>
      </c>
    </row>
    <row r="50" spans="1:8" ht="16.5" customHeight="1" x14ac:dyDescent="0.35">
      <c r="A50" s="28">
        <v>13</v>
      </c>
      <c r="B50" s="29">
        <v>1000</v>
      </c>
      <c r="C50" s="29">
        <v>32</v>
      </c>
      <c r="D50" s="29">
        <v>1</v>
      </c>
      <c r="E50" s="29">
        <v>1014.7768</v>
      </c>
      <c r="F50" s="29">
        <v>839.561961</v>
      </c>
      <c r="G50" s="29"/>
      <c r="H50" s="32">
        <v>26.865982750000001</v>
      </c>
    </row>
    <row r="51" spans="1:8" ht="16.5" customHeight="1" x14ac:dyDescent="0.35">
      <c r="A51" s="37">
        <v>13</v>
      </c>
      <c r="B51" s="18">
        <v>1000</v>
      </c>
      <c r="C51" s="18">
        <v>64</v>
      </c>
      <c r="D51" s="18">
        <v>1</v>
      </c>
      <c r="E51" s="18">
        <v>1022.1136</v>
      </c>
      <c r="F51" s="18">
        <v>1667.0710570000001</v>
      </c>
      <c r="G51" s="18"/>
      <c r="H51" s="39">
        <v>53.34627382</v>
      </c>
    </row>
    <row r="52" spans="1:8" ht="16.5" customHeight="1" x14ac:dyDescent="0.35">
      <c r="A52" s="37">
        <v>13</v>
      </c>
      <c r="B52" s="18">
        <v>1000</v>
      </c>
      <c r="C52" s="18">
        <v>96</v>
      </c>
      <c r="D52" s="18">
        <v>1</v>
      </c>
      <c r="E52" s="18">
        <v>1096.596</v>
      </c>
      <c r="F52" s="18">
        <v>2330.761739</v>
      </c>
      <c r="G52" s="18"/>
      <c r="H52" s="39">
        <v>74.584375649999998</v>
      </c>
    </row>
    <row r="53" spans="1:8" ht="16.5" customHeight="1" x14ac:dyDescent="0.35">
      <c r="A53" s="43">
        <v>13</v>
      </c>
      <c r="B53" s="46">
        <v>1000</v>
      </c>
      <c r="C53" s="46">
        <v>128</v>
      </c>
      <c r="D53" s="46">
        <v>1</v>
      </c>
      <c r="E53" s="46">
        <v>1333.7855999999999</v>
      </c>
      <c r="F53" s="46">
        <v>2555.037331</v>
      </c>
      <c r="G53" s="46"/>
      <c r="H53" s="51">
        <v>81.761194590000002</v>
      </c>
    </row>
    <row r="54" spans="1:8" ht="16.5" customHeight="1" x14ac:dyDescent="0.35">
      <c r="A54" s="28">
        <v>14</v>
      </c>
      <c r="B54" s="29">
        <v>1000</v>
      </c>
      <c r="C54" s="29">
        <v>32</v>
      </c>
      <c r="D54" s="29">
        <v>1</v>
      </c>
      <c r="E54" s="29">
        <v>1092.3812</v>
      </c>
      <c r="F54" s="29">
        <v>839.91192799999999</v>
      </c>
      <c r="G54" s="29"/>
      <c r="H54" s="32">
        <v>26.877181700000001</v>
      </c>
    </row>
    <row r="55" spans="1:8" ht="16.5" customHeight="1" x14ac:dyDescent="0.35">
      <c r="A55" s="37">
        <v>14</v>
      </c>
      <c r="B55" s="18">
        <v>1000</v>
      </c>
      <c r="C55" s="18">
        <v>64</v>
      </c>
      <c r="D55" s="18">
        <v>1</v>
      </c>
      <c r="E55" s="18">
        <v>1099.7167999999999</v>
      </c>
      <c r="F55" s="18">
        <v>1668.618684</v>
      </c>
      <c r="G55" s="18"/>
      <c r="H55" s="39">
        <v>53.395797889999997</v>
      </c>
    </row>
    <row r="56" spans="1:8" ht="16.5" customHeight="1" x14ac:dyDescent="0.35">
      <c r="A56" s="37">
        <v>14</v>
      </c>
      <c r="B56" s="18">
        <v>1000</v>
      </c>
      <c r="C56" s="18">
        <v>96</v>
      </c>
      <c r="D56" s="18">
        <v>1</v>
      </c>
      <c r="E56" s="18">
        <v>1150.2108000000001</v>
      </c>
      <c r="F56" s="18">
        <v>2393.0500390000002</v>
      </c>
      <c r="G56" s="18"/>
      <c r="H56" s="39">
        <v>76.577601250000001</v>
      </c>
    </row>
    <row r="57" spans="1:8" ht="16.5" customHeight="1" x14ac:dyDescent="0.35">
      <c r="A57" s="43">
        <v>14</v>
      </c>
      <c r="B57" s="46">
        <v>1000</v>
      </c>
      <c r="C57" s="46">
        <v>128</v>
      </c>
      <c r="D57" s="46">
        <v>1</v>
      </c>
      <c r="E57" s="46">
        <v>1435.2492</v>
      </c>
      <c r="F57" s="46">
        <v>2557.0583839999999</v>
      </c>
      <c r="G57" s="46"/>
      <c r="H57" s="51">
        <v>81.825868290000003</v>
      </c>
    </row>
    <row r="58" spans="1:8" ht="16.5" customHeight="1" x14ac:dyDescent="0.35">
      <c r="A58" s="28">
        <v>15</v>
      </c>
      <c r="B58" s="29">
        <v>1000</v>
      </c>
      <c r="C58" s="29">
        <v>32</v>
      </c>
      <c r="D58" s="29">
        <v>1</v>
      </c>
      <c r="E58" s="29">
        <v>1169.9767999999999</v>
      </c>
      <c r="F58" s="29">
        <v>840.22178899999994</v>
      </c>
      <c r="G58" s="29"/>
      <c r="H58" s="32">
        <v>26.88709725</v>
      </c>
    </row>
    <row r="59" spans="1:8" ht="16.5" customHeight="1" x14ac:dyDescent="0.35">
      <c r="A59" s="37">
        <v>15</v>
      </c>
      <c r="B59" s="18">
        <v>1000</v>
      </c>
      <c r="C59" s="18">
        <v>64</v>
      </c>
      <c r="D59" s="18">
        <v>1</v>
      </c>
      <c r="E59" s="18">
        <v>1177.3399999999999</v>
      </c>
      <c r="F59" s="18">
        <v>1669.9339190000001</v>
      </c>
      <c r="G59" s="18"/>
      <c r="H59" s="39">
        <v>53.43788541</v>
      </c>
    </row>
    <row r="60" spans="1:8" ht="16.5" customHeight="1" x14ac:dyDescent="0.35">
      <c r="A60" s="37">
        <v>15</v>
      </c>
      <c r="B60" s="18">
        <v>1000</v>
      </c>
      <c r="C60" s="18">
        <v>96</v>
      </c>
      <c r="D60" s="18">
        <v>1</v>
      </c>
      <c r="E60" s="18">
        <v>1200.6379999999999</v>
      </c>
      <c r="F60" s="18">
        <v>2456.2940699999999</v>
      </c>
      <c r="G60" s="18"/>
      <c r="H60" s="53">
        <v>78.601410240000007</v>
      </c>
    </row>
    <row r="61" spans="1:8" ht="16.5" customHeight="1" x14ac:dyDescent="0.35">
      <c r="A61" s="43">
        <v>15</v>
      </c>
      <c r="B61" s="46">
        <v>1000</v>
      </c>
      <c r="C61" s="46">
        <v>128</v>
      </c>
      <c r="D61" s="46">
        <v>1</v>
      </c>
      <c r="E61" s="46">
        <v>1537.6623999999999</v>
      </c>
      <c r="F61" s="46">
        <v>2557.2323289999999</v>
      </c>
      <c r="G61" s="46"/>
      <c r="H61" s="51">
        <v>81.831434529999996</v>
      </c>
    </row>
    <row r="62" spans="1:8" ht="16.5" customHeight="1" x14ac:dyDescent="0.35">
      <c r="A62" s="18">
        <v>16</v>
      </c>
      <c r="B62" s="18">
        <v>1000</v>
      </c>
      <c r="C62" s="18">
        <v>32</v>
      </c>
      <c r="D62" s="18">
        <v>1</v>
      </c>
      <c r="E62" s="18">
        <v>1247.5763999999999</v>
      </c>
      <c r="F62" s="18">
        <v>840.49041</v>
      </c>
      <c r="G62" s="18"/>
      <c r="H62" s="18">
        <v>26.895693120000001</v>
      </c>
    </row>
    <row r="63" spans="1:8" ht="16.5" customHeight="1" x14ac:dyDescent="0.35">
      <c r="A63" s="18">
        <v>16</v>
      </c>
      <c r="B63" s="18">
        <v>1000</v>
      </c>
      <c r="C63" s="18">
        <v>64</v>
      </c>
      <c r="D63" s="18">
        <v>1</v>
      </c>
      <c r="E63" s="18">
        <v>1254.9251999999999</v>
      </c>
      <c r="F63" s="18">
        <v>1671.1370529999999</v>
      </c>
      <c r="G63" s="18"/>
      <c r="H63" s="18">
        <v>53.476385700000002</v>
      </c>
    </row>
    <row r="64" spans="1:8" ht="16.5" customHeight="1" x14ac:dyDescent="0.35">
      <c r="A64" s="18">
        <v>16</v>
      </c>
      <c r="B64" s="18">
        <v>1000</v>
      </c>
      <c r="C64" s="18">
        <v>96</v>
      </c>
      <c r="D64" s="18">
        <v>1</v>
      </c>
      <c r="E64" s="18">
        <v>1262.2683999999999</v>
      </c>
      <c r="F64" s="18">
        <v>2492.1229109999999</v>
      </c>
      <c r="G64" s="18"/>
      <c r="H64" s="54">
        <v>79.747933149999994</v>
      </c>
    </row>
    <row r="65" spans="1:8" ht="16.5" customHeight="1" x14ac:dyDescent="0.35">
      <c r="A65" s="18">
        <v>16</v>
      </c>
      <c r="B65" s="18">
        <v>1000</v>
      </c>
      <c r="C65" s="18">
        <v>128</v>
      </c>
      <c r="D65" s="18">
        <v>1</v>
      </c>
      <c r="E65" s="18">
        <v>1640.7919999999999</v>
      </c>
      <c r="F65" s="18">
        <v>2556.267949</v>
      </c>
      <c r="G65" s="18"/>
      <c r="H65" s="18">
        <v>81.800574370000007</v>
      </c>
    </row>
    <row r="66" spans="1:8" ht="16.5" customHeight="1" x14ac:dyDescent="0.35">
      <c r="A66" s="18">
        <v>17</v>
      </c>
      <c r="B66" s="18">
        <v>1000</v>
      </c>
      <c r="C66" s="18">
        <v>32</v>
      </c>
      <c r="D66" s="18">
        <v>1</v>
      </c>
      <c r="E66" s="18">
        <v>1325.1772000000001</v>
      </c>
      <c r="F66" s="18">
        <v>840.72681</v>
      </c>
      <c r="G66" s="18"/>
      <c r="H66" s="18">
        <v>26.903257920000001</v>
      </c>
    </row>
    <row r="67" spans="1:8" ht="16.5" customHeight="1" x14ac:dyDescent="0.35">
      <c r="A67" s="18">
        <v>17</v>
      </c>
      <c r="B67" s="18">
        <v>1000</v>
      </c>
      <c r="C67" s="18">
        <v>64</v>
      </c>
      <c r="D67" s="18">
        <v>1</v>
      </c>
      <c r="E67" s="18">
        <v>1332.5147999999999</v>
      </c>
      <c r="F67" s="18">
        <v>1672.1945599999999</v>
      </c>
      <c r="G67" s="18"/>
      <c r="H67" s="18">
        <v>53.510225920000003</v>
      </c>
    </row>
    <row r="68" spans="1:8" ht="16.5" customHeight="1" x14ac:dyDescent="0.35">
      <c r="A68" s="18">
        <v>17</v>
      </c>
      <c r="B68" s="18">
        <v>1000</v>
      </c>
      <c r="C68" s="18">
        <v>96</v>
      </c>
      <c r="D68" s="18">
        <v>1</v>
      </c>
      <c r="E68" s="18">
        <v>1339.0907999999999</v>
      </c>
      <c r="F68" s="18">
        <v>2495.974134</v>
      </c>
      <c r="G68" s="18"/>
      <c r="H68" s="54">
        <v>79.871172290000004</v>
      </c>
    </row>
    <row r="69" spans="1:8" ht="16.5" customHeight="1" x14ac:dyDescent="0.35">
      <c r="A69" s="18">
        <v>17</v>
      </c>
      <c r="B69" s="18">
        <v>1000</v>
      </c>
      <c r="C69" s="18">
        <v>128</v>
      </c>
      <c r="D69" s="18">
        <v>1</v>
      </c>
      <c r="E69" s="18">
        <v>1742.4911999999999</v>
      </c>
      <c r="F69" s="18">
        <v>2557.515355</v>
      </c>
      <c r="G69" s="18"/>
      <c r="H69" s="18">
        <v>81.840491360000001</v>
      </c>
    </row>
    <row r="70" spans="1:8" ht="16.5" customHeight="1" x14ac:dyDescent="0.35">
      <c r="A70" s="18">
        <v>18</v>
      </c>
      <c r="B70" s="18">
        <v>1000</v>
      </c>
      <c r="C70" s="18">
        <v>32</v>
      </c>
      <c r="D70" s="18">
        <v>1</v>
      </c>
      <c r="E70" s="18">
        <v>1402.7764</v>
      </c>
      <c r="F70" s="18">
        <v>840.93801399999995</v>
      </c>
      <c r="G70" s="18"/>
      <c r="H70" s="18">
        <v>26.910016450000001</v>
      </c>
    </row>
    <row r="71" spans="1:8" ht="16.5" customHeight="1" x14ac:dyDescent="0.35">
      <c r="A71" s="18">
        <v>18</v>
      </c>
      <c r="B71" s="18">
        <v>1000</v>
      </c>
      <c r="C71" s="18">
        <v>64</v>
      </c>
      <c r="D71" s="18">
        <v>1</v>
      </c>
      <c r="E71" s="18">
        <v>1410.1168</v>
      </c>
      <c r="F71" s="18">
        <v>1673.1209779999999</v>
      </c>
      <c r="G71" s="18"/>
      <c r="H71" s="18">
        <v>53.539871300000001</v>
      </c>
    </row>
    <row r="72" spans="1:8" ht="16.5" customHeight="1" x14ac:dyDescent="0.35">
      <c r="A72" s="18">
        <v>18</v>
      </c>
      <c r="B72" s="18">
        <v>1000</v>
      </c>
      <c r="C72" s="18">
        <v>96</v>
      </c>
      <c r="D72" s="18">
        <v>1</v>
      </c>
      <c r="E72" s="18">
        <v>1417.4548</v>
      </c>
      <c r="F72" s="18">
        <v>2496.689136</v>
      </c>
      <c r="G72" s="18"/>
      <c r="H72" s="54">
        <v>79.894052349999995</v>
      </c>
    </row>
    <row r="73" spans="1:8" ht="16.5" customHeight="1" x14ac:dyDescent="0.35">
      <c r="A73" s="18">
        <v>18</v>
      </c>
      <c r="B73" s="18">
        <v>1000</v>
      </c>
      <c r="C73" s="18">
        <v>128</v>
      </c>
      <c r="D73" s="18">
        <v>1</v>
      </c>
      <c r="E73" s="18">
        <v>1844.9068</v>
      </c>
      <c r="F73" s="18">
        <v>2557.6316379999998</v>
      </c>
      <c r="G73" s="18"/>
      <c r="H73" s="18">
        <v>81.844212420000005</v>
      </c>
    </row>
    <row r="74" spans="1:8" ht="16.5" customHeight="1" x14ac:dyDescent="0.35">
      <c r="A74" s="18">
        <v>19</v>
      </c>
      <c r="B74" s="18">
        <v>1000</v>
      </c>
      <c r="C74" s="18">
        <v>32</v>
      </c>
      <c r="D74" s="18">
        <v>1</v>
      </c>
      <c r="E74" s="18">
        <v>1480.3768</v>
      </c>
      <c r="F74" s="18">
        <v>841.126394</v>
      </c>
      <c r="G74" s="18"/>
      <c r="H74" s="18">
        <v>26.91604461</v>
      </c>
    </row>
    <row r="75" spans="1:8" ht="16.5" customHeight="1" x14ac:dyDescent="0.35">
      <c r="A75" s="18">
        <v>19</v>
      </c>
      <c r="B75" s="18">
        <v>1000</v>
      </c>
      <c r="C75" s="18">
        <v>64</v>
      </c>
      <c r="D75" s="18">
        <v>1</v>
      </c>
      <c r="E75" s="18">
        <v>1487.7167999999999</v>
      </c>
      <c r="F75" s="18">
        <v>1673.953</v>
      </c>
      <c r="G75" s="18"/>
      <c r="H75" s="18">
        <v>53.566496000000001</v>
      </c>
    </row>
    <row r="76" spans="1:8" ht="16.5" customHeight="1" x14ac:dyDescent="0.35">
      <c r="A76" s="18">
        <v>19</v>
      </c>
      <c r="B76" s="18">
        <v>1000</v>
      </c>
      <c r="C76" s="18">
        <v>96</v>
      </c>
      <c r="D76" s="18">
        <v>1</v>
      </c>
      <c r="E76" s="18">
        <v>1495.0652</v>
      </c>
      <c r="F76" s="18">
        <v>2498.588021</v>
      </c>
      <c r="G76" s="18"/>
      <c r="H76" s="54">
        <v>79.95481667</v>
      </c>
    </row>
    <row r="77" spans="1:8" ht="16.5" customHeight="1" x14ac:dyDescent="0.35">
      <c r="A77" s="18">
        <v>19</v>
      </c>
      <c r="B77" s="18">
        <v>1000</v>
      </c>
      <c r="C77" s="18">
        <v>128</v>
      </c>
      <c r="D77" s="18">
        <v>1</v>
      </c>
      <c r="E77" s="18">
        <v>1948.1224</v>
      </c>
      <c r="F77" s="18">
        <v>2556.6853500000002</v>
      </c>
      <c r="G77" s="18"/>
      <c r="H77" s="18">
        <v>81.813931199999999</v>
      </c>
    </row>
    <row r="78" spans="1:8" ht="16.5" customHeight="1" x14ac:dyDescent="0.35">
      <c r="A78" s="18">
        <v>20</v>
      </c>
      <c r="B78" s="18">
        <v>1000</v>
      </c>
      <c r="C78" s="18">
        <v>32</v>
      </c>
      <c r="D78" s="18">
        <v>1</v>
      </c>
      <c r="E78" s="18">
        <v>1558.1615999999999</v>
      </c>
      <c r="F78" s="18">
        <v>841.19644600000004</v>
      </c>
      <c r="G78" s="18"/>
      <c r="H78" s="18">
        <v>26.918286269999999</v>
      </c>
    </row>
    <row r="79" spans="1:8" ht="16.5" customHeight="1" x14ac:dyDescent="0.35">
      <c r="A79" s="18">
        <v>20</v>
      </c>
      <c r="B79" s="18">
        <v>1000</v>
      </c>
      <c r="C79" s="18">
        <v>64</v>
      </c>
      <c r="D79" s="18">
        <v>1</v>
      </c>
      <c r="E79" s="18">
        <v>1565.3163999999999</v>
      </c>
      <c r="F79" s="18">
        <v>1674.702955</v>
      </c>
      <c r="G79" s="18"/>
      <c r="H79" s="18">
        <v>53.590494560000003</v>
      </c>
    </row>
    <row r="80" spans="1:8" ht="16.5" customHeight="1" x14ac:dyDescent="0.35">
      <c r="A80" s="18">
        <v>20</v>
      </c>
      <c r="B80" s="18">
        <v>1000</v>
      </c>
      <c r="C80" s="18">
        <v>96</v>
      </c>
      <c r="D80" s="18">
        <v>1</v>
      </c>
      <c r="E80" s="18">
        <v>1572.6536000000001</v>
      </c>
      <c r="F80" s="18">
        <v>2500.3344670000001</v>
      </c>
      <c r="G80" s="18"/>
      <c r="H80" s="18">
        <v>80.010702940000002</v>
      </c>
    </row>
    <row r="81" spans="1:8" ht="16.5" customHeight="1" x14ac:dyDescent="0.35">
      <c r="A81" s="18">
        <v>20</v>
      </c>
      <c r="B81" s="18">
        <v>1000</v>
      </c>
      <c r="C81" s="18">
        <v>128</v>
      </c>
      <c r="D81" s="18">
        <v>1</v>
      </c>
      <c r="E81" s="18">
        <v>2049.7127999999998</v>
      </c>
      <c r="F81" s="18">
        <v>2557.8607889999998</v>
      </c>
      <c r="G81" s="18"/>
      <c r="H81" s="18">
        <v>81.851545250000001</v>
      </c>
    </row>
    <row r="82" spans="1:8" ht="16.5" customHeight="1" x14ac:dyDescent="0.35">
      <c r="A82" s="18">
        <v>21</v>
      </c>
      <c r="B82" s="18">
        <v>1000</v>
      </c>
      <c r="C82" s="18">
        <v>32</v>
      </c>
      <c r="D82" s="18">
        <v>1</v>
      </c>
      <c r="E82" s="18">
        <v>1635.5771999999999</v>
      </c>
      <c r="F82" s="18">
        <v>841.44973400000003</v>
      </c>
      <c r="G82" s="18"/>
      <c r="H82" s="18">
        <v>26.92639149</v>
      </c>
    </row>
    <row r="83" spans="1:8" ht="16.5" customHeight="1" x14ac:dyDescent="0.35">
      <c r="A83" s="18">
        <v>21</v>
      </c>
      <c r="B83" s="18">
        <v>1000</v>
      </c>
      <c r="C83" s="18">
        <v>64</v>
      </c>
      <c r="D83" s="18">
        <v>1</v>
      </c>
      <c r="E83" s="18">
        <v>1643.11</v>
      </c>
      <c r="F83" s="18">
        <v>1675.184254</v>
      </c>
      <c r="G83" s="18"/>
      <c r="H83" s="18">
        <v>53.605896129999998</v>
      </c>
    </row>
    <row r="84" spans="1:8" ht="16.5" customHeight="1" x14ac:dyDescent="0.35">
      <c r="A84" s="18">
        <v>21</v>
      </c>
      <c r="B84" s="18">
        <v>1000</v>
      </c>
      <c r="C84" s="18">
        <v>96</v>
      </c>
      <c r="D84" s="18">
        <v>1</v>
      </c>
      <c r="E84" s="18">
        <v>1649.5296000000001</v>
      </c>
      <c r="F84" s="18">
        <v>2502.997218</v>
      </c>
      <c r="G84" s="18"/>
      <c r="H84" s="18">
        <v>80.095910979999999</v>
      </c>
    </row>
    <row r="85" spans="1:8" ht="16.5" customHeight="1" x14ac:dyDescent="0.35">
      <c r="A85" s="18">
        <v>21</v>
      </c>
      <c r="B85" s="18">
        <v>1000</v>
      </c>
      <c r="C85" s="18">
        <v>128</v>
      </c>
      <c r="D85" s="18">
        <v>1</v>
      </c>
      <c r="E85" s="18">
        <v>2152.9115999999999</v>
      </c>
      <c r="F85" s="18">
        <v>2557.0134880000001</v>
      </c>
      <c r="G85" s="18"/>
      <c r="H85" s="18">
        <v>81.824431619999999</v>
      </c>
    </row>
    <row r="86" spans="1:8" ht="16.5" customHeight="1" x14ac:dyDescent="0.35">
      <c r="A86" s="18">
        <v>22</v>
      </c>
      <c r="B86" s="18">
        <v>1000</v>
      </c>
      <c r="C86" s="18">
        <v>32</v>
      </c>
      <c r="D86" s="18">
        <v>1</v>
      </c>
      <c r="E86" s="18">
        <v>1713.1764000000001</v>
      </c>
      <c r="F86" s="18">
        <v>841.58992599999999</v>
      </c>
      <c r="G86" s="18"/>
      <c r="H86" s="18">
        <v>26.930877630000001</v>
      </c>
    </row>
    <row r="87" spans="1:8" ht="16.5" customHeight="1" x14ac:dyDescent="0.35">
      <c r="A87" s="18">
        <v>22</v>
      </c>
      <c r="B87" s="18">
        <v>1000</v>
      </c>
      <c r="C87" s="18">
        <v>64</v>
      </c>
      <c r="D87" s="18">
        <v>1</v>
      </c>
      <c r="E87" s="18">
        <v>1720.5172</v>
      </c>
      <c r="F87" s="18">
        <v>1675.9983569999999</v>
      </c>
      <c r="G87" s="18"/>
      <c r="H87" s="18">
        <v>53.631947420000003</v>
      </c>
    </row>
    <row r="88" spans="1:8" ht="16.5" customHeight="1" x14ac:dyDescent="0.35">
      <c r="A88" s="18">
        <v>22</v>
      </c>
      <c r="B88" s="18">
        <v>1000</v>
      </c>
      <c r="C88" s="18">
        <v>96</v>
      </c>
      <c r="D88" s="18">
        <v>1</v>
      </c>
      <c r="E88" s="18">
        <v>1727.9364</v>
      </c>
      <c r="F88" s="18">
        <v>2503.2032429999999</v>
      </c>
      <c r="G88" s="18"/>
      <c r="H88" s="18">
        <v>80.102503780000006</v>
      </c>
    </row>
    <row r="89" spans="1:8" ht="16.5" customHeight="1" x14ac:dyDescent="0.35">
      <c r="A89" s="18">
        <v>22</v>
      </c>
      <c r="B89" s="18">
        <v>1000</v>
      </c>
      <c r="C89" s="18">
        <v>128</v>
      </c>
      <c r="D89" s="18">
        <v>1</v>
      </c>
      <c r="E89" s="18">
        <v>2255.3220000000001</v>
      </c>
      <c r="F89" s="18">
        <v>2557.1372959999999</v>
      </c>
      <c r="G89" s="18"/>
      <c r="H89" s="18">
        <v>81.828393469999995</v>
      </c>
    </row>
    <row r="90" spans="1:8" ht="16.5" customHeight="1" x14ac:dyDescent="0.35">
      <c r="A90" s="18">
        <v>23</v>
      </c>
      <c r="B90" s="18">
        <v>1000</v>
      </c>
      <c r="C90" s="18">
        <v>32</v>
      </c>
      <c r="D90" s="18">
        <v>1</v>
      </c>
      <c r="E90" s="18">
        <v>1790.7768000000001</v>
      </c>
      <c r="F90" s="18">
        <v>841.71740399999999</v>
      </c>
      <c r="G90" s="18"/>
      <c r="H90" s="18">
        <v>26.934956929999998</v>
      </c>
    </row>
    <row r="91" spans="1:8" ht="16.5" customHeight="1" x14ac:dyDescent="0.35">
      <c r="A91" s="18">
        <v>23</v>
      </c>
      <c r="B91" s="18">
        <v>1000</v>
      </c>
      <c r="C91" s="18">
        <v>64</v>
      </c>
      <c r="D91" s="18">
        <v>1</v>
      </c>
      <c r="E91" s="18">
        <v>1798.1171999999999</v>
      </c>
      <c r="F91" s="18">
        <v>1676.5625729999999</v>
      </c>
      <c r="G91" s="18"/>
      <c r="H91" s="18">
        <v>53.65000234</v>
      </c>
    </row>
    <row r="92" spans="1:8" ht="16.5" customHeight="1" x14ac:dyDescent="0.35">
      <c r="A92" s="18">
        <v>23</v>
      </c>
      <c r="B92" s="18">
        <v>1000</v>
      </c>
      <c r="C92" s="18">
        <v>96</v>
      </c>
      <c r="D92" s="18">
        <v>1</v>
      </c>
      <c r="E92" s="18">
        <v>1805.5328</v>
      </c>
      <c r="F92" s="18">
        <v>2504.515011</v>
      </c>
      <c r="G92" s="18"/>
      <c r="H92" s="18">
        <v>80.144480349999995</v>
      </c>
    </row>
    <row r="93" spans="1:8" ht="16.5" customHeight="1" x14ac:dyDescent="0.35">
      <c r="A93" s="18">
        <v>23</v>
      </c>
      <c r="B93" s="18">
        <v>1000</v>
      </c>
      <c r="C93" s="18">
        <v>128</v>
      </c>
      <c r="D93" s="18">
        <v>1</v>
      </c>
      <c r="E93" s="18">
        <v>2357.712</v>
      </c>
      <c r="F93" s="18">
        <v>2557.2724739999999</v>
      </c>
      <c r="G93" s="18"/>
      <c r="H93" s="18">
        <v>81.832719170000004</v>
      </c>
    </row>
    <row r="94" spans="1:8" ht="16.5" customHeight="1" x14ac:dyDescent="0.35">
      <c r="A94" s="18">
        <v>24</v>
      </c>
      <c r="B94" s="18">
        <v>1000</v>
      </c>
      <c r="C94" s="18">
        <v>32</v>
      </c>
      <c r="D94" s="18">
        <v>1</v>
      </c>
      <c r="E94" s="18">
        <v>1868.3976</v>
      </c>
      <c r="F94" s="18">
        <v>841.82510200000002</v>
      </c>
      <c r="G94" s="18"/>
      <c r="H94" s="18">
        <v>26.938403260000001</v>
      </c>
    </row>
    <row r="95" spans="1:8" ht="16.5" customHeight="1" x14ac:dyDescent="0.35">
      <c r="A95" s="18">
        <v>24</v>
      </c>
      <c r="B95" s="18">
        <v>1000</v>
      </c>
      <c r="C95" s="18">
        <v>64</v>
      </c>
      <c r="D95" s="18">
        <v>1</v>
      </c>
      <c r="E95" s="18">
        <v>1875.7164</v>
      </c>
      <c r="F95" s="18">
        <v>1677.080821</v>
      </c>
      <c r="G95" s="18"/>
      <c r="H95" s="18">
        <v>53.666586270000003</v>
      </c>
    </row>
    <row r="96" spans="1:8" ht="16.5" customHeight="1" x14ac:dyDescent="0.35">
      <c r="A96" s="18">
        <v>24</v>
      </c>
      <c r="B96" s="18">
        <v>1000</v>
      </c>
      <c r="C96" s="18">
        <v>96</v>
      </c>
      <c r="D96" s="18">
        <v>1</v>
      </c>
      <c r="E96" s="18">
        <v>1882.3344</v>
      </c>
      <c r="F96" s="18">
        <v>2506.7766919999999</v>
      </c>
      <c r="G96" s="18"/>
      <c r="H96" s="18">
        <v>80.216854139999995</v>
      </c>
    </row>
    <row r="97" spans="1:8" ht="16.5" customHeight="1" x14ac:dyDescent="0.35">
      <c r="A97" s="18">
        <v>24</v>
      </c>
      <c r="B97" s="18">
        <v>1000</v>
      </c>
      <c r="C97" s="18">
        <v>128</v>
      </c>
      <c r="D97" s="18">
        <v>1</v>
      </c>
      <c r="E97" s="18">
        <v>2460.1120000000001</v>
      </c>
      <c r="F97" s="18">
        <v>2557.3860049999998</v>
      </c>
      <c r="G97" s="18"/>
      <c r="H97" s="18">
        <v>81.836352160000004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4178C-A244-49B5-AB79-B48D66E9EC94}">
  <sheetPr>
    <outlinePr summaryBelow="0" summaryRight="0"/>
  </sheetPr>
  <dimension ref="A1:AO176"/>
  <sheetViews>
    <sheetView workbookViewId="0"/>
  </sheetViews>
  <sheetFormatPr defaultColWidth="10" defaultRowHeight="16.5" customHeight="1" x14ac:dyDescent="0.35"/>
  <cols>
    <col min="1" max="1" width="9.53515625" customWidth="1"/>
    <col min="2" max="2" width="7.53515625" customWidth="1"/>
    <col min="3" max="3" width="6.3046875" customWidth="1"/>
    <col min="4" max="4" width="5.921875" customWidth="1"/>
    <col min="5" max="5" width="8.69140625"/>
    <col min="6" max="6" width="3.61328125" customWidth="1"/>
    <col min="7" max="7" width="6.84375" customWidth="1"/>
    <col min="8" max="9" width="6.07421875" customWidth="1"/>
    <col min="10" max="10" width="8.69140625"/>
    <col min="11" max="11" width="3.23046875" customWidth="1"/>
    <col min="12" max="12" width="6.84375" customWidth="1"/>
    <col min="13" max="14" width="6.07421875" customWidth="1"/>
    <col min="15" max="15" width="8.69140625"/>
    <col min="16" max="16" width="3.23046875" customWidth="1"/>
    <col min="17" max="17" width="6.84375" customWidth="1"/>
    <col min="18" max="19" width="6.07421875" customWidth="1"/>
    <col min="20" max="20" width="8.69140625"/>
    <col min="21" max="21" width="3.23046875" customWidth="1"/>
    <col min="22" max="22" width="6.84375" customWidth="1"/>
    <col min="23" max="24" width="6.07421875" customWidth="1"/>
    <col min="25" max="25" width="8.69140625"/>
    <col min="26" max="26" width="3.23046875" customWidth="1"/>
    <col min="27" max="27" width="6.84375" customWidth="1"/>
    <col min="28" max="29" width="6.07421875" customWidth="1"/>
    <col min="30" max="30" width="8.69140625"/>
    <col min="31" max="31" width="3.23046875" customWidth="1"/>
    <col min="32" max="32" width="6.84375" customWidth="1"/>
    <col min="33" max="34" width="6.07421875" customWidth="1"/>
    <col min="35" max="35" width="8.69140625"/>
    <col min="36" max="36" width="5.23046875" style="82" customWidth="1"/>
    <col min="37" max="37" width="6.84375" customWidth="1"/>
    <col min="38" max="39" width="6.07421875" customWidth="1"/>
    <col min="40" max="41" width="8.69140625"/>
  </cols>
  <sheetData>
    <row r="1" spans="1:41" ht="16.5" customHeight="1" x14ac:dyDescent="0.35">
      <c r="B1" s="94" t="s">
        <v>0</v>
      </c>
      <c r="C1" s="94"/>
      <c r="D1" s="94"/>
      <c r="E1" s="94"/>
      <c r="F1" s="94"/>
      <c r="G1" s="94"/>
      <c r="H1" s="94"/>
      <c r="I1" s="94"/>
      <c r="J1" s="94"/>
      <c r="L1" s="24"/>
      <c r="M1" s="24"/>
      <c r="N1" s="24"/>
      <c r="O1" s="24"/>
      <c r="Q1" s="24"/>
      <c r="R1" s="24"/>
      <c r="S1" s="24"/>
      <c r="T1" s="24"/>
      <c r="V1" s="24"/>
      <c r="W1" s="24"/>
      <c r="X1" s="24"/>
      <c r="Y1" s="24"/>
      <c r="AA1" s="24"/>
      <c r="AB1" s="24"/>
      <c r="AC1" s="24"/>
      <c r="AD1" s="24"/>
      <c r="AF1" s="24"/>
      <c r="AG1" s="24"/>
      <c r="AH1" s="24"/>
      <c r="AI1" s="24"/>
      <c r="AJ1" s="83"/>
      <c r="AK1" s="24"/>
      <c r="AL1" s="24"/>
      <c r="AM1" s="24"/>
      <c r="AN1" s="24"/>
      <c r="AO1" s="24"/>
    </row>
    <row r="2" spans="1:41" ht="16.5" customHeight="1" x14ac:dyDescent="0.35">
      <c r="A2" s="57"/>
      <c r="B2" s="92" t="s">
        <v>1</v>
      </c>
      <c r="C2" s="93"/>
      <c r="D2" s="93"/>
      <c r="E2" s="93"/>
      <c r="G2" s="93" t="s">
        <v>2</v>
      </c>
      <c r="H2" s="93"/>
      <c r="I2" s="93"/>
      <c r="J2" s="93"/>
      <c r="L2" s="93" t="s">
        <v>3</v>
      </c>
      <c r="M2" s="93"/>
      <c r="N2" s="93"/>
      <c r="O2" s="93"/>
      <c r="Q2" s="93" t="s">
        <v>4</v>
      </c>
      <c r="R2" s="93"/>
      <c r="S2" s="93"/>
      <c r="T2" s="93"/>
      <c r="V2" s="93" t="s">
        <v>5</v>
      </c>
      <c r="W2" s="93"/>
      <c r="X2" s="93"/>
      <c r="Y2" s="93"/>
      <c r="AA2" s="93" t="s">
        <v>6</v>
      </c>
      <c r="AB2" s="93"/>
      <c r="AC2" s="93"/>
      <c r="AD2" s="93"/>
      <c r="AF2" s="93" t="s">
        <v>7</v>
      </c>
      <c r="AG2" s="93"/>
      <c r="AH2" s="93"/>
      <c r="AI2" s="95"/>
      <c r="AJ2" s="83"/>
      <c r="AK2" s="92" t="s">
        <v>8</v>
      </c>
      <c r="AL2" s="93"/>
      <c r="AM2" s="93"/>
      <c r="AN2" s="93"/>
      <c r="AO2" s="24"/>
    </row>
    <row r="3" spans="1:41" s="1" customFormat="1" ht="16.5" customHeight="1" x14ac:dyDescent="0.35">
      <c r="A3" s="6"/>
      <c r="B3" s="90" t="s">
        <v>9</v>
      </c>
      <c r="C3" s="91"/>
      <c r="D3" s="91"/>
      <c r="E3" s="13"/>
      <c r="G3" s="91" t="s">
        <v>9</v>
      </c>
      <c r="H3" s="91"/>
      <c r="I3" s="91"/>
      <c r="J3" s="13"/>
      <c r="L3" s="91" t="s">
        <v>9</v>
      </c>
      <c r="M3" s="91"/>
      <c r="N3" s="91"/>
      <c r="O3" s="13"/>
      <c r="Q3" s="91" t="s">
        <v>9</v>
      </c>
      <c r="R3" s="91"/>
      <c r="S3" s="91"/>
      <c r="T3" s="13"/>
      <c r="V3" s="91" t="s">
        <v>9</v>
      </c>
      <c r="W3" s="91"/>
      <c r="X3" s="91"/>
      <c r="Y3" s="13"/>
      <c r="AA3" s="91" t="s">
        <v>9</v>
      </c>
      <c r="AB3" s="91"/>
      <c r="AC3" s="91"/>
      <c r="AD3" s="13"/>
      <c r="AF3" s="91" t="s">
        <v>9</v>
      </c>
      <c r="AG3" s="91"/>
      <c r="AH3" s="91"/>
      <c r="AI3" s="55"/>
      <c r="AJ3" s="84"/>
      <c r="AK3" s="90" t="s">
        <v>9</v>
      </c>
      <c r="AL3" s="91"/>
      <c r="AM3" s="91"/>
      <c r="AN3" s="13"/>
    </row>
    <row r="4" spans="1:41" s="7" customFormat="1" ht="16.5" customHeight="1" x14ac:dyDescent="0.35">
      <c r="A4" s="58"/>
      <c r="B4" s="23" t="s">
        <v>10</v>
      </c>
      <c r="C4" s="42" t="s">
        <v>11</v>
      </c>
      <c r="D4" s="36" t="s">
        <v>12</v>
      </c>
      <c r="E4" s="42" t="s">
        <v>13</v>
      </c>
      <c r="G4" s="42" t="s">
        <v>10</v>
      </c>
      <c r="H4" s="42" t="s">
        <v>11</v>
      </c>
      <c r="I4" s="36" t="s">
        <v>12</v>
      </c>
      <c r="J4" s="42" t="s">
        <v>13</v>
      </c>
      <c r="L4" s="42" t="s">
        <v>10</v>
      </c>
      <c r="M4" s="42" t="s">
        <v>11</v>
      </c>
      <c r="N4" s="36" t="s">
        <v>12</v>
      </c>
      <c r="O4" s="42" t="s">
        <v>13</v>
      </c>
      <c r="Q4" s="42" t="s">
        <v>10</v>
      </c>
      <c r="R4" s="42" t="s">
        <v>11</v>
      </c>
      <c r="S4" s="36" t="s">
        <v>12</v>
      </c>
      <c r="T4" s="42" t="s">
        <v>13</v>
      </c>
      <c r="V4" s="42" t="s">
        <v>10</v>
      </c>
      <c r="W4" s="42" t="s">
        <v>11</v>
      </c>
      <c r="X4" s="36" t="s">
        <v>12</v>
      </c>
      <c r="Y4" s="42" t="s">
        <v>13</v>
      </c>
      <c r="AA4" s="42" t="s">
        <v>10</v>
      </c>
      <c r="AB4" s="42" t="s">
        <v>11</v>
      </c>
      <c r="AC4" s="36" t="s">
        <v>12</v>
      </c>
      <c r="AD4" s="42" t="s">
        <v>13</v>
      </c>
      <c r="AF4" s="42" t="s">
        <v>10</v>
      </c>
      <c r="AG4" s="42" t="s">
        <v>11</v>
      </c>
      <c r="AH4" s="36" t="s">
        <v>12</v>
      </c>
      <c r="AI4" s="56" t="s">
        <v>13</v>
      </c>
      <c r="AJ4" s="85"/>
      <c r="AK4" s="23" t="s">
        <v>10</v>
      </c>
      <c r="AL4" s="42" t="s">
        <v>11</v>
      </c>
      <c r="AM4" s="36" t="s">
        <v>12</v>
      </c>
      <c r="AN4" s="42" t="s">
        <v>13</v>
      </c>
    </row>
    <row r="5" spans="1:41" ht="16.5" customHeight="1" x14ac:dyDescent="0.35">
      <c r="A5" s="59"/>
      <c r="B5" s="34">
        <v>32</v>
      </c>
      <c r="C5" s="44">
        <v>32</v>
      </c>
      <c r="D5" s="45">
        <v>256</v>
      </c>
      <c r="E5" s="16">
        <v>100.53</v>
      </c>
      <c r="G5" s="34">
        <v>32</v>
      </c>
      <c r="H5" s="44">
        <v>32</v>
      </c>
      <c r="I5" s="45">
        <v>512</v>
      </c>
      <c r="J5" s="16">
        <v>79.849999999999994</v>
      </c>
      <c r="L5" s="34">
        <v>32</v>
      </c>
      <c r="M5" s="44">
        <v>32</v>
      </c>
      <c r="N5" s="44">
        <f t="shared" ref="N5:N39" si="0">D5*3</f>
        <v>768</v>
      </c>
      <c r="O5" s="16"/>
      <c r="Q5" s="34">
        <v>32</v>
      </c>
      <c r="R5" s="44">
        <v>32</v>
      </c>
      <c r="S5" s="45">
        <f t="shared" ref="S5:S39" si="1">D5*4</f>
        <v>1024</v>
      </c>
      <c r="T5" s="16"/>
      <c r="V5" s="34">
        <v>32</v>
      </c>
      <c r="W5" s="44">
        <v>32</v>
      </c>
      <c r="X5" s="45">
        <f t="shared" ref="X5:X39" si="2">D5*5</f>
        <v>1280</v>
      </c>
      <c r="Y5" s="16"/>
      <c r="AA5" s="34">
        <v>32</v>
      </c>
      <c r="AB5" s="44">
        <v>32</v>
      </c>
      <c r="AC5" s="45">
        <f t="shared" ref="AC5:AC39" si="3">D5*6</f>
        <v>1536</v>
      </c>
      <c r="AD5" s="16"/>
      <c r="AF5" s="34">
        <v>32</v>
      </c>
      <c r="AG5" s="44">
        <v>32</v>
      </c>
      <c r="AH5" s="44">
        <v>1792</v>
      </c>
      <c r="AI5" s="62"/>
      <c r="AJ5" s="86"/>
      <c r="AK5" s="77">
        <v>32</v>
      </c>
      <c r="AL5" s="44">
        <v>32</v>
      </c>
      <c r="AM5" s="44">
        <v>2048</v>
      </c>
      <c r="AN5" s="16"/>
      <c r="AO5" s="4"/>
    </row>
    <row r="6" spans="1:41" ht="16.5" customHeight="1" x14ac:dyDescent="0.35">
      <c r="A6" s="59"/>
      <c r="B6" s="35">
        <v>64</v>
      </c>
      <c r="C6" s="11">
        <v>32</v>
      </c>
      <c r="D6" s="8">
        <v>256</v>
      </c>
      <c r="E6" s="17">
        <v>129.28</v>
      </c>
      <c r="G6" s="35">
        <v>64</v>
      </c>
      <c r="H6" s="11">
        <v>32</v>
      </c>
      <c r="I6" s="8">
        <v>512</v>
      </c>
      <c r="J6" s="17">
        <v>75.56</v>
      </c>
      <c r="L6" s="35">
        <v>64</v>
      </c>
      <c r="M6" s="11">
        <v>32</v>
      </c>
      <c r="N6" s="11">
        <f t="shared" si="0"/>
        <v>768</v>
      </c>
      <c r="O6" s="17"/>
      <c r="Q6" s="35">
        <v>64</v>
      </c>
      <c r="R6" s="11">
        <v>32</v>
      </c>
      <c r="S6" s="8">
        <f t="shared" si="1"/>
        <v>1024</v>
      </c>
      <c r="T6" s="17"/>
      <c r="V6" s="35">
        <v>64</v>
      </c>
      <c r="W6" s="11">
        <v>32</v>
      </c>
      <c r="X6" s="8">
        <f t="shared" si="2"/>
        <v>1280</v>
      </c>
      <c r="Y6" s="17"/>
      <c r="AA6" s="35">
        <v>64</v>
      </c>
      <c r="AB6" s="11">
        <v>32</v>
      </c>
      <c r="AC6" s="8">
        <f t="shared" si="3"/>
        <v>1536</v>
      </c>
      <c r="AD6" s="17"/>
      <c r="AF6" s="35">
        <v>64</v>
      </c>
      <c r="AG6" s="11">
        <v>32</v>
      </c>
      <c r="AH6" s="11">
        <v>1792</v>
      </c>
      <c r="AI6" s="64"/>
      <c r="AJ6" s="86"/>
      <c r="AK6" s="78">
        <v>64</v>
      </c>
      <c r="AL6" s="11">
        <v>32</v>
      </c>
      <c r="AM6" s="11">
        <v>2048</v>
      </c>
      <c r="AN6" s="17"/>
      <c r="AO6" s="4"/>
    </row>
    <row r="7" spans="1:41" ht="16.5" customHeight="1" x14ac:dyDescent="0.35">
      <c r="A7" s="59"/>
      <c r="B7" s="35">
        <v>96</v>
      </c>
      <c r="C7" s="11">
        <v>32</v>
      </c>
      <c r="D7" s="8">
        <v>256</v>
      </c>
      <c r="E7" s="17">
        <v>135.68</v>
      </c>
      <c r="G7" s="35">
        <v>96</v>
      </c>
      <c r="H7" s="11">
        <v>32</v>
      </c>
      <c r="I7" s="8">
        <v>512</v>
      </c>
      <c r="J7" s="17">
        <v>75.56</v>
      </c>
      <c r="L7" s="35">
        <v>96</v>
      </c>
      <c r="M7" s="11">
        <v>32</v>
      </c>
      <c r="N7" s="11">
        <f t="shared" si="0"/>
        <v>768</v>
      </c>
      <c r="O7" s="17"/>
      <c r="Q7" s="35">
        <v>96</v>
      </c>
      <c r="R7" s="11">
        <v>32</v>
      </c>
      <c r="S7" s="8">
        <f t="shared" si="1"/>
        <v>1024</v>
      </c>
      <c r="T7" s="17"/>
      <c r="V7" s="35">
        <v>96</v>
      </c>
      <c r="W7" s="11">
        <v>32</v>
      </c>
      <c r="X7" s="8">
        <f t="shared" si="2"/>
        <v>1280</v>
      </c>
      <c r="Y7" s="17"/>
      <c r="AA7" s="35">
        <v>96</v>
      </c>
      <c r="AB7" s="11">
        <v>32</v>
      </c>
      <c r="AC7" s="8">
        <f t="shared" si="3"/>
        <v>1536</v>
      </c>
      <c r="AD7" s="17"/>
      <c r="AF7" s="35">
        <v>96</v>
      </c>
      <c r="AG7" s="11">
        <v>32</v>
      </c>
      <c r="AH7" s="11">
        <v>1792</v>
      </c>
      <c r="AI7" s="64"/>
      <c r="AJ7" s="86"/>
      <c r="AK7" s="78">
        <v>96</v>
      </c>
      <c r="AL7" s="11">
        <v>32</v>
      </c>
      <c r="AM7" s="11">
        <v>2048</v>
      </c>
      <c r="AN7" s="17"/>
      <c r="AO7" s="4"/>
    </row>
    <row r="8" spans="1:41" ht="16.5" customHeight="1" x14ac:dyDescent="0.35">
      <c r="A8" s="59"/>
      <c r="B8" s="35">
        <v>128</v>
      </c>
      <c r="C8" s="11">
        <v>32</v>
      </c>
      <c r="D8" s="8">
        <v>256</v>
      </c>
      <c r="E8" s="17">
        <v>139.31</v>
      </c>
      <c r="G8" s="35">
        <v>128</v>
      </c>
      <c r="H8" s="11">
        <v>32</v>
      </c>
      <c r="I8" s="8">
        <v>512</v>
      </c>
      <c r="J8" s="17">
        <v>75.56</v>
      </c>
      <c r="L8" s="35">
        <v>128</v>
      </c>
      <c r="M8" s="11">
        <v>32</v>
      </c>
      <c r="N8" s="11">
        <f t="shared" si="0"/>
        <v>768</v>
      </c>
      <c r="O8" s="17"/>
      <c r="Q8" s="35">
        <v>128</v>
      </c>
      <c r="R8" s="11">
        <v>32</v>
      </c>
      <c r="S8" s="8">
        <f t="shared" si="1"/>
        <v>1024</v>
      </c>
      <c r="T8" s="17"/>
      <c r="V8" s="35">
        <v>128</v>
      </c>
      <c r="W8" s="11">
        <v>32</v>
      </c>
      <c r="X8" s="8">
        <f t="shared" si="2"/>
        <v>1280</v>
      </c>
      <c r="Y8" s="17"/>
      <c r="AA8" s="35">
        <v>128</v>
      </c>
      <c r="AB8" s="11">
        <v>32</v>
      </c>
      <c r="AC8" s="8">
        <f t="shared" si="3"/>
        <v>1536</v>
      </c>
      <c r="AD8" s="17"/>
      <c r="AF8" s="35">
        <v>128</v>
      </c>
      <c r="AG8" s="11">
        <v>32</v>
      </c>
      <c r="AH8" s="11">
        <v>1792</v>
      </c>
      <c r="AI8" s="64"/>
      <c r="AJ8" s="86"/>
      <c r="AK8" s="78">
        <v>128</v>
      </c>
      <c r="AL8" s="11">
        <v>32</v>
      </c>
      <c r="AM8" s="11">
        <v>2048</v>
      </c>
      <c r="AN8" s="17"/>
      <c r="AO8" s="4"/>
    </row>
    <row r="9" spans="1:41" ht="16.5" customHeight="1" x14ac:dyDescent="0.35">
      <c r="A9" s="59"/>
      <c r="B9" s="35">
        <v>256</v>
      </c>
      <c r="C9" s="11">
        <v>32</v>
      </c>
      <c r="D9" s="8">
        <v>256</v>
      </c>
      <c r="E9" s="17">
        <v>141.33000000000001</v>
      </c>
      <c r="G9" s="35">
        <v>256</v>
      </c>
      <c r="H9" s="11">
        <v>32</v>
      </c>
      <c r="I9" s="8">
        <v>512</v>
      </c>
      <c r="J9" s="17">
        <v>75.95</v>
      </c>
      <c r="L9" s="35">
        <v>256</v>
      </c>
      <c r="M9" s="11">
        <v>32</v>
      </c>
      <c r="N9" s="11">
        <f t="shared" si="0"/>
        <v>768</v>
      </c>
      <c r="O9" s="17"/>
      <c r="Q9" s="35">
        <v>256</v>
      </c>
      <c r="R9" s="11">
        <v>32</v>
      </c>
      <c r="S9" s="8">
        <f t="shared" si="1"/>
        <v>1024</v>
      </c>
      <c r="T9" s="17"/>
      <c r="V9" s="35">
        <v>256</v>
      </c>
      <c r="W9" s="11">
        <v>32</v>
      </c>
      <c r="X9" s="8">
        <f t="shared" si="2"/>
        <v>1280</v>
      </c>
      <c r="Y9" s="17"/>
      <c r="AA9" s="35">
        <v>256</v>
      </c>
      <c r="AB9" s="11">
        <v>32</v>
      </c>
      <c r="AC9" s="8">
        <f t="shared" si="3"/>
        <v>1536</v>
      </c>
      <c r="AD9" s="17"/>
      <c r="AF9" s="35">
        <v>256</v>
      </c>
      <c r="AG9" s="11">
        <v>32</v>
      </c>
      <c r="AH9" s="11">
        <v>1792</v>
      </c>
      <c r="AI9" s="64"/>
      <c r="AJ9" s="86"/>
      <c r="AK9" s="78">
        <v>256</v>
      </c>
      <c r="AL9" s="11">
        <v>32</v>
      </c>
      <c r="AM9" s="11">
        <v>2048</v>
      </c>
      <c r="AN9" s="17"/>
      <c r="AO9" s="4"/>
    </row>
    <row r="10" spans="1:41" ht="16.5" customHeight="1" x14ac:dyDescent="0.35">
      <c r="A10" s="60"/>
      <c r="B10" s="35">
        <v>512</v>
      </c>
      <c r="C10" s="11">
        <v>32</v>
      </c>
      <c r="D10" s="8">
        <v>256</v>
      </c>
      <c r="E10" s="17">
        <v>139.03</v>
      </c>
      <c r="G10" s="35">
        <v>512</v>
      </c>
      <c r="H10" s="11">
        <v>32</v>
      </c>
      <c r="I10" s="8">
        <v>512</v>
      </c>
      <c r="J10" s="17">
        <v>75.540000000000006</v>
      </c>
      <c r="L10" s="35">
        <v>512</v>
      </c>
      <c r="M10" s="11">
        <v>32</v>
      </c>
      <c r="N10" s="11">
        <f t="shared" si="0"/>
        <v>768</v>
      </c>
      <c r="O10" s="17"/>
      <c r="Q10" s="35">
        <v>512</v>
      </c>
      <c r="R10" s="11">
        <v>32</v>
      </c>
      <c r="S10" s="8">
        <f t="shared" si="1"/>
        <v>1024</v>
      </c>
      <c r="T10" s="17"/>
      <c r="V10" s="35">
        <v>512</v>
      </c>
      <c r="W10" s="11">
        <v>32</v>
      </c>
      <c r="X10" s="8">
        <f t="shared" si="2"/>
        <v>1280</v>
      </c>
      <c r="Y10" s="17"/>
      <c r="AA10" s="35">
        <v>512</v>
      </c>
      <c r="AB10" s="11">
        <v>32</v>
      </c>
      <c r="AC10" s="8">
        <f t="shared" si="3"/>
        <v>1536</v>
      </c>
      <c r="AD10" s="17"/>
      <c r="AF10" s="35">
        <v>512</v>
      </c>
      <c r="AG10" s="11">
        <v>32</v>
      </c>
      <c r="AH10" s="11">
        <v>1792</v>
      </c>
      <c r="AI10" s="64"/>
      <c r="AJ10" s="86"/>
      <c r="AK10" s="78">
        <v>512</v>
      </c>
      <c r="AL10" s="11">
        <v>32</v>
      </c>
      <c r="AM10" s="11">
        <v>2048</v>
      </c>
      <c r="AN10" s="17"/>
      <c r="AO10" s="4"/>
    </row>
    <row r="11" spans="1:41" ht="16.5" customHeight="1" x14ac:dyDescent="0.35">
      <c r="A11" s="61"/>
      <c r="B11" s="2">
        <v>1024</v>
      </c>
      <c r="C11" s="19">
        <v>32</v>
      </c>
      <c r="D11" s="22">
        <v>256</v>
      </c>
      <c r="E11" s="33">
        <v>138.22999999999999</v>
      </c>
      <c r="G11" s="2">
        <v>1024</v>
      </c>
      <c r="H11" s="19">
        <v>32</v>
      </c>
      <c r="I11" s="22">
        <v>512</v>
      </c>
      <c r="J11" s="33">
        <v>75.33</v>
      </c>
      <c r="L11" s="2">
        <v>1024</v>
      </c>
      <c r="M11" s="19">
        <v>32</v>
      </c>
      <c r="N11" s="11">
        <f t="shared" si="0"/>
        <v>768</v>
      </c>
      <c r="O11" s="33"/>
      <c r="Q11" s="2">
        <v>1024</v>
      </c>
      <c r="R11" s="19">
        <v>32</v>
      </c>
      <c r="S11" s="8">
        <f t="shared" si="1"/>
        <v>1024</v>
      </c>
      <c r="T11" s="33"/>
      <c r="V11" s="2">
        <v>1024</v>
      </c>
      <c r="W11" s="19">
        <v>32</v>
      </c>
      <c r="X11" s="8">
        <f t="shared" si="2"/>
        <v>1280</v>
      </c>
      <c r="Y11" s="33"/>
      <c r="AA11" s="2">
        <v>1024</v>
      </c>
      <c r="AB11" s="19">
        <v>32</v>
      </c>
      <c r="AC11" s="8">
        <f t="shared" si="3"/>
        <v>1536</v>
      </c>
      <c r="AD11" s="33"/>
      <c r="AF11" s="2">
        <v>1024</v>
      </c>
      <c r="AG11" s="19">
        <v>32</v>
      </c>
      <c r="AH11" s="11">
        <v>1792</v>
      </c>
      <c r="AI11" s="88"/>
      <c r="AJ11" s="87"/>
      <c r="AK11" s="89">
        <v>1024</v>
      </c>
      <c r="AL11" s="19">
        <v>32</v>
      </c>
      <c r="AM11" s="11">
        <v>2048</v>
      </c>
      <c r="AN11" s="33"/>
      <c r="AO11" s="76"/>
    </row>
    <row r="12" spans="1:41" ht="16.5" customHeight="1" x14ac:dyDescent="0.35">
      <c r="A12" s="1"/>
      <c r="B12" s="34">
        <v>32</v>
      </c>
      <c r="C12" s="44">
        <v>64</v>
      </c>
      <c r="D12" s="45">
        <v>512</v>
      </c>
      <c r="E12" s="16">
        <v>204.18</v>
      </c>
      <c r="G12" s="34">
        <v>32</v>
      </c>
      <c r="H12" s="44">
        <v>64</v>
      </c>
      <c r="I12" s="45">
        <v>1024</v>
      </c>
      <c r="J12" s="16">
        <v>165.36</v>
      </c>
      <c r="L12" s="34">
        <v>32</v>
      </c>
      <c r="M12" s="44">
        <v>64</v>
      </c>
      <c r="N12" s="11">
        <f t="shared" si="0"/>
        <v>1536</v>
      </c>
      <c r="O12" s="16"/>
      <c r="Q12" s="34">
        <v>32</v>
      </c>
      <c r="R12" s="44">
        <v>64</v>
      </c>
      <c r="S12" s="8">
        <f t="shared" si="1"/>
        <v>2048</v>
      </c>
      <c r="T12" s="16"/>
      <c r="V12" s="34">
        <v>32</v>
      </c>
      <c r="W12" s="44">
        <v>64</v>
      </c>
      <c r="X12" s="8">
        <f t="shared" si="2"/>
        <v>2560</v>
      </c>
      <c r="Y12" s="16"/>
      <c r="AA12" s="34">
        <v>32</v>
      </c>
      <c r="AB12" s="44">
        <v>64</v>
      </c>
      <c r="AC12" s="8">
        <f t="shared" si="3"/>
        <v>3072</v>
      </c>
      <c r="AD12" s="16"/>
      <c r="AF12" s="34">
        <v>32</v>
      </c>
      <c r="AG12" s="44">
        <v>64</v>
      </c>
      <c r="AH12" s="8">
        <f t="shared" ref="AH12:AH39" si="4">D12*6</f>
        <v>3072</v>
      </c>
      <c r="AI12" s="62"/>
      <c r="AJ12" s="86"/>
      <c r="AK12" s="77">
        <v>32</v>
      </c>
      <c r="AL12" s="44">
        <v>64</v>
      </c>
      <c r="AM12" s="8">
        <f t="shared" ref="AM12:AM39" si="5">I12*6</f>
        <v>6144</v>
      </c>
      <c r="AN12" s="16"/>
      <c r="AO12" s="4"/>
    </row>
    <row r="13" spans="1:41" ht="16.5" customHeight="1" x14ac:dyDescent="0.35">
      <c r="A13" s="1"/>
      <c r="B13" s="35">
        <v>64</v>
      </c>
      <c r="C13" s="11">
        <v>64</v>
      </c>
      <c r="D13" s="8">
        <v>512</v>
      </c>
      <c r="E13" s="17">
        <v>272.38</v>
      </c>
      <c r="G13" s="35">
        <v>64</v>
      </c>
      <c r="H13" s="11">
        <v>64</v>
      </c>
      <c r="I13" s="8">
        <v>1024</v>
      </c>
      <c r="J13" s="17">
        <v>161.43</v>
      </c>
      <c r="L13" s="35">
        <v>64</v>
      </c>
      <c r="M13" s="11">
        <v>64</v>
      </c>
      <c r="N13" s="11">
        <f t="shared" si="0"/>
        <v>1536</v>
      </c>
      <c r="O13" s="17"/>
      <c r="Q13" s="35">
        <v>64</v>
      </c>
      <c r="R13" s="11">
        <v>64</v>
      </c>
      <c r="S13" s="8">
        <f t="shared" si="1"/>
        <v>2048</v>
      </c>
      <c r="T13" s="17"/>
      <c r="V13" s="35">
        <v>64</v>
      </c>
      <c r="W13" s="11">
        <v>64</v>
      </c>
      <c r="X13" s="8">
        <f t="shared" si="2"/>
        <v>2560</v>
      </c>
      <c r="Y13" s="17"/>
      <c r="AA13" s="35">
        <v>64</v>
      </c>
      <c r="AB13" s="11">
        <v>64</v>
      </c>
      <c r="AC13" s="8">
        <f t="shared" si="3"/>
        <v>3072</v>
      </c>
      <c r="AD13" s="17"/>
      <c r="AF13" s="35">
        <v>64</v>
      </c>
      <c r="AG13" s="11">
        <v>64</v>
      </c>
      <c r="AH13" s="8">
        <f t="shared" si="4"/>
        <v>3072</v>
      </c>
      <c r="AI13" s="64"/>
      <c r="AJ13" s="86"/>
      <c r="AK13" s="78">
        <v>64</v>
      </c>
      <c r="AL13" s="11">
        <v>64</v>
      </c>
      <c r="AM13" s="8">
        <f t="shared" si="5"/>
        <v>6144</v>
      </c>
      <c r="AN13" s="17"/>
      <c r="AO13" s="4"/>
    </row>
    <row r="14" spans="1:41" ht="16.5" customHeight="1" x14ac:dyDescent="0.35">
      <c r="A14" s="1"/>
      <c r="B14" s="35">
        <v>96</v>
      </c>
      <c r="C14" s="11">
        <v>64</v>
      </c>
      <c r="D14" s="8">
        <v>512</v>
      </c>
      <c r="E14" s="17">
        <v>278.37</v>
      </c>
      <c r="G14" s="35">
        <v>96</v>
      </c>
      <c r="H14" s="11">
        <v>64</v>
      </c>
      <c r="I14" s="8">
        <v>1024</v>
      </c>
      <c r="J14" s="17">
        <v>164.79</v>
      </c>
      <c r="L14" s="35">
        <v>96</v>
      </c>
      <c r="M14" s="11">
        <v>64</v>
      </c>
      <c r="N14" s="11">
        <f t="shared" si="0"/>
        <v>1536</v>
      </c>
      <c r="O14" s="17"/>
      <c r="Q14" s="35">
        <v>96</v>
      </c>
      <c r="R14" s="11">
        <v>64</v>
      </c>
      <c r="S14" s="8">
        <f t="shared" si="1"/>
        <v>2048</v>
      </c>
      <c r="T14" s="17"/>
      <c r="V14" s="35">
        <v>96</v>
      </c>
      <c r="W14" s="11">
        <v>64</v>
      </c>
      <c r="X14" s="8">
        <f t="shared" si="2"/>
        <v>2560</v>
      </c>
      <c r="Y14" s="17"/>
      <c r="AA14" s="35">
        <v>96</v>
      </c>
      <c r="AB14" s="11">
        <v>64</v>
      </c>
      <c r="AC14" s="8">
        <f t="shared" si="3"/>
        <v>3072</v>
      </c>
      <c r="AD14" s="17"/>
      <c r="AF14" s="35">
        <v>96</v>
      </c>
      <c r="AG14" s="11">
        <v>64</v>
      </c>
      <c r="AH14" s="8">
        <f t="shared" si="4"/>
        <v>3072</v>
      </c>
      <c r="AI14" s="64"/>
      <c r="AJ14" s="86"/>
      <c r="AK14" s="78">
        <v>96</v>
      </c>
      <c r="AL14" s="11">
        <v>64</v>
      </c>
      <c r="AM14" s="8">
        <f t="shared" si="5"/>
        <v>6144</v>
      </c>
      <c r="AN14" s="17"/>
      <c r="AO14" s="4"/>
    </row>
    <row r="15" spans="1:41" ht="16.5" customHeight="1" x14ac:dyDescent="0.35">
      <c r="A15" s="41" t="s">
        <v>14</v>
      </c>
      <c r="B15" s="63">
        <v>128</v>
      </c>
      <c r="C15" s="9">
        <v>64</v>
      </c>
      <c r="D15" s="10">
        <v>512</v>
      </c>
      <c r="E15" s="14">
        <v>285.41000000000003</v>
      </c>
      <c r="G15" s="35">
        <v>128</v>
      </c>
      <c r="H15" s="11">
        <v>64</v>
      </c>
      <c r="I15" s="8">
        <v>1024</v>
      </c>
      <c r="J15" s="17">
        <v>164.17</v>
      </c>
      <c r="L15" s="35">
        <v>128</v>
      </c>
      <c r="M15" s="11">
        <v>64</v>
      </c>
      <c r="N15" s="11">
        <f t="shared" si="0"/>
        <v>1536</v>
      </c>
      <c r="O15" s="17"/>
      <c r="Q15" s="35">
        <v>128</v>
      </c>
      <c r="R15" s="11">
        <v>64</v>
      </c>
      <c r="S15" s="8">
        <f t="shared" si="1"/>
        <v>2048</v>
      </c>
      <c r="T15" s="17"/>
      <c r="V15" s="35">
        <v>128</v>
      </c>
      <c r="W15" s="11">
        <v>64</v>
      </c>
      <c r="X15" s="8">
        <f t="shared" si="2"/>
        <v>2560</v>
      </c>
      <c r="Y15" s="17"/>
      <c r="AA15" s="35">
        <v>128</v>
      </c>
      <c r="AB15" s="11">
        <v>64</v>
      </c>
      <c r="AC15" s="8">
        <f t="shared" si="3"/>
        <v>3072</v>
      </c>
      <c r="AD15" s="17"/>
      <c r="AF15" s="35">
        <v>128</v>
      </c>
      <c r="AG15" s="11">
        <v>64</v>
      </c>
      <c r="AH15" s="8">
        <f t="shared" si="4"/>
        <v>3072</v>
      </c>
      <c r="AI15" s="64"/>
      <c r="AJ15" s="86"/>
      <c r="AK15" s="78">
        <v>128</v>
      </c>
      <c r="AL15" s="11">
        <v>64</v>
      </c>
      <c r="AM15" s="8">
        <f t="shared" si="5"/>
        <v>6144</v>
      </c>
      <c r="AN15" s="17"/>
      <c r="AO15" s="4"/>
    </row>
    <row r="16" spans="1:41" s="15" customFormat="1" ht="16.5" customHeight="1" x14ac:dyDescent="0.35">
      <c r="A16" s="1" t="s">
        <v>15</v>
      </c>
      <c r="B16" s="35">
        <v>256</v>
      </c>
      <c r="C16" s="11">
        <v>64</v>
      </c>
      <c r="D16" s="8">
        <v>512</v>
      </c>
      <c r="E16" s="17">
        <v>303.58999999999997</v>
      </c>
      <c r="G16" s="35">
        <v>256</v>
      </c>
      <c r="H16" s="11">
        <v>64</v>
      </c>
      <c r="I16" s="8">
        <v>1024</v>
      </c>
      <c r="J16" s="17">
        <v>167.78</v>
      </c>
      <c r="L16" s="35">
        <v>256</v>
      </c>
      <c r="M16" s="11">
        <v>64</v>
      </c>
      <c r="N16" s="11">
        <f t="shared" si="0"/>
        <v>1536</v>
      </c>
      <c r="O16" s="17"/>
      <c r="Q16" s="35">
        <v>256</v>
      </c>
      <c r="R16" s="11">
        <v>64</v>
      </c>
      <c r="S16" s="8">
        <f t="shared" si="1"/>
        <v>2048</v>
      </c>
      <c r="T16" s="17"/>
      <c r="V16" s="35">
        <v>256</v>
      </c>
      <c r="W16" s="11">
        <v>64</v>
      </c>
      <c r="X16" s="8">
        <f t="shared" si="2"/>
        <v>2560</v>
      </c>
      <c r="Y16" s="17"/>
      <c r="AA16" s="35">
        <v>256</v>
      </c>
      <c r="AB16" s="11">
        <v>64</v>
      </c>
      <c r="AC16" s="8">
        <f t="shared" si="3"/>
        <v>3072</v>
      </c>
      <c r="AD16" s="17"/>
      <c r="AF16" s="35">
        <v>256</v>
      </c>
      <c r="AG16" s="11">
        <v>64</v>
      </c>
      <c r="AH16" s="8">
        <f t="shared" si="4"/>
        <v>3072</v>
      </c>
      <c r="AI16" s="64"/>
      <c r="AJ16" s="86"/>
      <c r="AK16" s="78">
        <v>256</v>
      </c>
      <c r="AL16" s="11">
        <v>64</v>
      </c>
      <c r="AM16" s="8">
        <f t="shared" si="5"/>
        <v>6144</v>
      </c>
      <c r="AN16" s="17"/>
      <c r="AO16" s="4"/>
    </row>
    <row r="17" spans="1:41" s="15" customFormat="1" ht="16.5" customHeight="1" x14ac:dyDescent="0.35">
      <c r="A17" s="1" t="s">
        <v>16</v>
      </c>
      <c r="B17" s="35">
        <v>512</v>
      </c>
      <c r="C17" s="11">
        <v>64</v>
      </c>
      <c r="D17" s="8">
        <v>512</v>
      </c>
      <c r="E17" s="17">
        <v>314.7</v>
      </c>
      <c r="G17" s="35">
        <v>512</v>
      </c>
      <c r="H17" s="11">
        <v>64</v>
      </c>
      <c r="I17" s="8">
        <v>1024</v>
      </c>
      <c r="J17" s="17">
        <v>168.06</v>
      </c>
      <c r="L17" s="35">
        <v>512</v>
      </c>
      <c r="M17" s="11">
        <v>64</v>
      </c>
      <c r="N17" s="11">
        <f t="shared" si="0"/>
        <v>1536</v>
      </c>
      <c r="O17" s="17"/>
      <c r="Q17" s="35">
        <v>512</v>
      </c>
      <c r="R17" s="11">
        <v>64</v>
      </c>
      <c r="S17" s="8">
        <f t="shared" si="1"/>
        <v>2048</v>
      </c>
      <c r="T17" s="17"/>
      <c r="V17" s="35">
        <v>512</v>
      </c>
      <c r="W17" s="11">
        <v>64</v>
      </c>
      <c r="X17" s="8">
        <f t="shared" si="2"/>
        <v>2560</v>
      </c>
      <c r="Y17" s="17"/>
      <c r="AA17" s="35">
        <v>512</v>
      </c>
      <c r="AB17" s="11">
        <v>64</v>
      </c>
      <c r="AC17" s="8">
        <f t="shared" si="3"/>
        <v>3072</v>
      </c>
      <c r="AD17" s="17"/>
      <c r="AF17" s="35">
        <v>512</v>
      </c>
      <c r="AG17" s="11">
        <v>64</v>
      </c>
      <c r="AH17" s="8">
        <f t="shared" si="4"/>
        <v>3072</v>
      </c>
      <c r="AI17" s="64"/>
      <c r="AJ17" s="86"/>
      <c r="AK17" s="78">
        <v>512</v>
      </c>
      <c r="AL17" s="11">
        <v>64</v>
      </c>
      <c r="AM17" s="8">
        <f t="shared" si="5"/>
        <v>6144</v>
      </c>
      <c r="AN17" s="17"/>
      <c r="AO17" s="4"/>
    </row>
    <row r="18" spans="1:41" ht="16.5" customHeight="1" x14ac:dyDescent="0.35">
      <c r="A18" s="52" t="s">
        <v>17</v>
      </c>
      <c r="B18" s="70">
        <v>1024</v>
      </c>
      <c r="C18" s="71">
        <v>64</v>
      </c>
      <c r="D18" s="72">
        <v>512</v>
      </c>
      <c r="E18" s="74">
        <v>321.87</v>
      </c>
      <c r="F18" s="3"/>
      <c r="G18" s="65">
        <v>1024</v>
      </c>
      <c r="H18" s="66">
        <v>64</v>
      </c>
      <c r="I18" s="67">
        <v>1024</v>
      </c>
      <c r="J18" s="69">
        <v>168.08</v>
      </c>
      <c r="L18" s="65">
        <v>1024</v>
      </c>
      <c r="M18" s="66">
        <v>64</v>
      </c>
      <c r="N18" s="11">
        <f t="shared" si="0"/>
        <v>1536</v>
      </c>
      <c r="O18" s="69"/>
      <c r="Q18" s="65">
        <v>1024</v>
      </c>
      <c r="R18" s="66">
        <v>64</v>
      </c>
      <c r="S18" s="8">
        <f t="shared" si="1"/>
        <v>2048</v>
      </c>
      <c r="T18" s="69"/>
      <c r="V18" s="65">
        <v>1024</v>
      </c>
      <c r="W18" s="66">
        <v>64</v>
      </c>
      <c r="X18" s="8">
        <f t="shared" si="2"/>
        <v>2560</v>
      </c>
      <c r="Y18" s="69"/>
      <c r="AA18" s="65">
        <v>1024</v>
      </c>
      <c r="AB18" s="66">
        <v>64</v>
      </c>
      <c r="AC18" s="8">
        <f t="shared" si="3"/>
        <v>3072</v>
      </c>
      <c r="AD18" s="69"/>
      <c r="AF18" s="65">
        <v>1024</v>
      </c>
      <c r="AG18" s="66">
        <v>64</v>
      </c>
      <c r="AH18" s="8">
        <f t="shared" si="4"/>
        <v>3072</v>
      </c>
      <c r="AI18" s="68"/>
      <c r="AJ18" s="87"/>
      <c r="AK18" s="79">
        <v>1024</v>
      </c>
      <c r="AL18" s="66">
        <v>64</v>
      </c>
      <c r="AM18" s="8">
        <f t="shared" si="5"/>
        <v>6144</v>
      </c>
      <c r="AN18" s="69"/>
      <c r="AO18" s="76"/>
    </row>
    <row r="19" spans="1:41" ht="16.5" customHeight="1" x14ac:dyDescent="0.35">
      <c r="B19" s="34">
        <v>32</v>
      </c>
      <c r="C19" s="44">
        <v>96</v>
      </c>
      <c r="D19" s="44">
        <f t="shared" ref="D19:D39" si="6">C19*8</f>
        <v>768</v>
      </c>
      <c r="E19" s="16">
        <v>161.88999999999999</v>
      </c>
      <c r="G19" s="34">
        <v>32</v>
      </c>
      <c r="H19" s="44">
        <v>96</v>
      </c>
      <c r="I19" s="44">
        <f t="shared" ref="I19:I39" si="7">H19*8*2</f>
        <v>1536</v>
      </c>
      <c r="J19" s="16">
        <v>134.63</v>
      </c>
      <c r="L19" s="34">
        <v>32</v>
      </c>
      <c r="M19" s="44">
        <v>96</v>
      </c>
      <c r="N19" s="11">
        <f t="shared" si="0"/>
        <v>2304</v>
      </c>
      <c r="O19" s="16"/>
      <c r="Q19" s="34">
        <v>32</v>
      </c>
      <c r="R19" s="44">
        <v>96</v>
      </c>
      <c r="S19" s="11">
        <f t="shared" si="1"/>
        <v>3072</v>
      </c>
      <c r="T19" s="16"/>
      <c r="V19" s="34">
        <v>32</v>
      </c>
      <c r="W19" s="44">
        <v>96</v>
      </c>
      <c r="X19" s="11">
        <f t="shared" si="2"/>
        <v>3840</v>
      </c>
      <c r="Y19" s="16"/>
      <c r="AA19" s="34">
        <v>32</v>
      </c>
      <c r="AB19" s="44">
        <v>96</v>
      </c>
      <c r="AC19" s="11">
        <f t="shared" si="3"/>
        <v>4608</v>
      </c>
      <c r="AD19" s="16"/>
      <c r="AF19" s="34">
        <v>32</v>
      </c>
      <c r="AG19" s="44">
        <v>96</v>
      </c>
      <c r="AH19" s="11">
        <f t="shared" si="4"/>
        <v>4608</v>
      </c>
      <c r="AI19" s="62"/>
      <c r="AJ19" s="86"/>
      <c r="AK19" s="77">
        <v>32</v>
      </c>
      <c r="AL19" s="44">
        <v>96</v>
      </c>
      <c r="AM19" s="11">
        <f t="shared" si="5"/>
        <v>9216</v>
      </c>
      <c r="AN19" s="16"/>
      <c r="AO19" s="4"/>
    </row>
    <row r="20" spans="1:41" ht="16.5" customHeight="1" x14ac:dyDescent="0.35">
      <c r="B20" s="35">
        <v>64</v>
      </c>
      <c r="C20" s="11">
        <v>96</v>
      </c>
      <c r="D20" s="11">
        <f t="shared" si="6"/>
        <v>768</v>
      </c>
      <c r="E20" s="17">
        <v>174.54</v>
      </c>
      <c r="G20" s="35">
        <v>64</v>
      </c>
      <c r="H20" s="11">
        <v>96</v>
      </c>
      <c r="I20" s="11">
        <f t="shared" si="7"/>
        <v>1536</v>
      </c>
      <c r="J20" s="17">
        <v>144.93</v>
      </c>
      <c r="L20" s="35">
        <v>64</v>
      </c>
      <c r="M20" s="11">
        <v>96</v>
      </c>
      <c r="N20" s="11">
        <f t="shared" si="0"/>
        <v>2304</v>
      </c>
      <c r="O20" s="17"/>
      <c r="Q20" s="35">
        <v>64</v>
      </c>
      <c r="R20" s="11">
        <v>96</v>
      </c>
      <c r="S20" s="11">
        <f t="shared" si="1"/>
        <v>3072</v>
      </c>
      <c r="T20" s="17"/>
      <c r="V20" s="35">
        <v>64</v>
      </c>
      <c r="W20" s="11">
        <v>96</v>
      </c>
      <c r="X20" s="11">
        <f t="shared" si="2"/>
        <v>3840</v>
      </c>
      <c r="Y20" s="17"/>
      <c r="AA20" s="35">
        <v>64</v>
      </c>
      <c r="AB20" s="11">
        <v>96</v>
      </c>
      <c r="AC20" s="11">
        <f t="shared" si="3"/>
        <v>4608</v>
      </c>
      <c r="AD20" s="17"/>
      <c r="AF20" s="35">
        <v>64</v>
      </c>
      <c r="AG20" s="11">
        <v>96</v>
      </c>
      <c r="AH20" s="11">
        <f t="shared" si="4"/>
        <v>4608</v>
      </c>
      <c r="AI20" s="64"/>
      <c r="AJ20" s="86"/>
      <c r="AK20" s="78">
        <v>64</v>
      </c>
      <c r="AL20" s="11">
        <v>96</v>
      </c>
      <c r="AM20" s="11">
        <f t="shared" si="5"/>
        <v>9216</v>
      </c>
      <c r="AN20" s="17"/>
      <c r="AO20" s="4"/>
    </row>
    <row r="21" spans="1:41" ht="16.5" customHeight="1" x14ac:dyDescent="0.35">
      <c r="B21" s="35">
        <v>96</v>
      </c>
      <c r="C21" s="11">
        <v>96</v>
      </c>
      <c r="D21" s="11">
        <f t="shared" si="6"/>
        <v>768</v>
      </c>
      <c r="E21" s="17">
        <v>178.63</v>
      </c>
      <c r="G21" s="35">
        <v>96</v>
      </c>
      <c r="H21" s="11">
        <v>96</v>
      </c>
      <c r="I21" s="11">
        <f t="shared" si="7"/>
        <v>1536</v>
      </c>
      <c r="J21" s="17">
        <v>143.29</v>
      </c>
      <c r="L21" s="35">
        <v>96</v>
      </c>
      <c r="M21" s="11">
        <v>96</v>
      </c>
      <c r="N21" s="11">
        <f t="shared" si="0"/>
        <v>2304</v>
      </c>
      <c r="O21" s="17"/>
      <c r="Q21" s="35">
        <v>96</v>
      </c>
      <c r="R21" s="11">
        <v>96</v>
      </c>
      <c r="S21" s="11">
        <f t="shared" si="1"/>
        <v>3072</v>
      </c>
      <c r="T21" s="17"/>
      <c r="V21" s="35">
        <v>96</v>
      </c>
      <c r="W21" s="11">
        <v>96</v>
      </c>
      <c r="X21" s="11">
        <f t="shared" si="2"/>
        <v>3840</v>
      </c>
      <c r="Y21" s="17"/>
      <c r="AA21" s="35">
        <v>96</v>
      </c>
      <c r="AB21" s="11">
        <v>96</v>
      </c>
      <c r="AC21" s="11">
        <f t="shared" si="3"/>
        <v>4608</v>
      </c>
      <c r="AD21" s="17"/>
      <c r="AF21" s="35">
        <v>96</v>
      </c>
      <c r="AG21" s="11">
        <v>96</v>
      </c>
      <c r="AH21" s="11">
        <f t="shared" si="4"/>
        <v>4608</v>
      </c>
      <c r="AI21" s="64"/>
      <c r="AJ21" s="86"/>
      <c r="AK21" s="78">
        <v>96</v>
      </c>
      <c r="AL21" s="11">
        <v>96</v>
      </c>
      <c r="AM21" s="11">
        <f t="shared" si="5"/>
        <v>9216</v>
      </c>
      <c r="AN21" s="17"/>
      <c r="AO21" s="4"/>
    </row>
    <row r="22" spans="1:41" ht="16.5" customHeight="1" x14ac:dyDescent="0.35">
      <c r="B22" s="35">
        <v>128</v>
      </c>
      <c r="C22" s="11">
        <v>96</v>
      </c>
      <c r="D22" s="11">
        <f t="shared" si="6"/>
        <v>768</v>
      </c>
      <c r="E22" s="17">
        <v>174.84</v>
      </c>
      <c r="G22" s="35">
        <v>128</v>
      </c>
      <c r="H22" s="11">
        <v>96</v>
      </c>
      <c r="I22" s="11">
        <f t="shared" si="7"/>
        <v>1536</v>
      </c>
      <c r="J22" s="17">
        <v>144.74</v>
      </c>
      <c r="L22" s="35">
        <v>128</v>
      </c>
      <c r="M22" s="11">
        <v>96</v>
      </c>
      <c r="N22" s="11">
        <f t="shared" si="0"/>
        <v>2304</v>
      </c>
      <c r="O22" s="17"/>
      <c r="Q22" s="35">
        <v>128</v>
      </c>
      <c r="R22" s="11">
        <v>96</v>
      </c>
      <c r="S22" s="11">
        <f t="shared" si="1"/>
        <v>3072</v>
      </c>
      <c r="T22" s="17"/>
      <c r="V22" s="35">
        <v>128</v>
      </c>
      <c r="W22" s="11">
        <v>96</v>
      </c>
      <c r="X22" s="11">
        <f t="shared" si="2"/>
        <v>3840</v>
      </c>
      <c r="Y22" s="17"/>
      <c r="AA22" s="35">
        <v>128</v>
      </c>
      <c r="AB22" s="11">
        <v>96</v>
      </c>
      <c r="AC22" s="11">
        <f t="shared" si="3"/>
        <v>4608</v>
      </c>
      <c r="AD22" s="17"/>
      <c r="AF22" s="35">
        <v>128</v>
      </c>
      <c r="AG22" s="11">
        <v>96</v>
      </c>
      <c r="AH22" s="11">
        <f t="shared" si="4"/>
        <v>4608</v>
      </c>
      <c r="AI22" s="64"/>
      <c r="AJ22" s="86"/>
      <c r="AK22" s="78">
        <v>128</v>
      </c>
      <c r="AL22" s="11">
        <v>96</v>
      </c>
      <c r="AM22" s="11">
        <f t="shared" si="5"/>
        <v>9216</v>
      </c>
      <c r="AN22" s="17"/>
      <c r="AO22" s="4"/>
    </row>
    <row r="23" spans="1:41" ht="16.5" customHeight="1" x14ac:dyDescent="0.35">
      <c r="B23" s="35">
        <v>256</v>
      </c>
      <c r="C23" s="11">
        <v>96</v>
      </c>
      <c r="D23" s="11">
        <f t="shared" si="6"/>
        <v>768</v>
      </c>
      <c r="E23" s="17">
        <v>178.29</v>
      </c>
      <c r="G23" s="35">
        <v>256</v>
      </c>
      <c r="H23" s="11">
        <v>96</v>
      </c>
      <c r="I23" s="11">
        <f t="shared" si="7"/>
        <v>1536</v>
      </c>
      <c r="J23" s="17">
        <v>142.59</v>
      </c>
      <c r="L23" s="35">
        <v>256</v>
      </c>
      <c r="M23" s="11">
        <v>96</v>
      </c>
      <c r="N23" s="11">
        <f t="shared" si="0"/>
        <v>2304</v>
      </c>
      <c r="O23" s="17"/>
      <c r="Q23" s="35">
        <v>256</v>
      </c>
      <c r="R23" s="11">
        <v>96</v>
      </c>
      <c r="S23" s="11">
        <f t="shared" si="1"/>
        <v>3072</v>
      </c>
      <c r="T23" s="17"/>
      <c r="V23" s="35">
        <v>256</v>
      </c>
      <c r="W23" s="11">
        <v>96</v>
      </c>
      <c r="X23" s="11">
        <f t="shared" si="2"/>
        <v>3840</v>
      </c>
      <c r="Y23" s="17"/>
      <c r="AA23" s="35">
        <v>256</v>
      </c>
      <c r="AB23" s="11">
        <v>96</v>
      </c>
      <c r="AC23" s="11">
        <f t="shared" si="3"/>
        <v>4608</v>
      </c>
      <c r="AD23" s="17"/>
      <c r="AF23" s="35">
        <v>256</v>
      </c>
      <c r="AG23" s="11">
        <v>96</v>
      </c>
      <c r="AH23" s="11">
        <f t="shared" si="4"/>
        <v>4608</v>
      </c>
      <c r="AI23" s="64"/>
      <c r="AJ23" s="86"/>
      <c r="AK23" s="78">
        <v>256</v>
      </c>
      <c r="AL23" s="11">
        <v>96</v>
      </c>
      <c r="AM23" s="11">
        <f t="shared" si="5"/>
        <v>9216</v>
      </c>
      <c r="AN23" s="17"/>
      <c r="AO23" s="4"/>
    </row>
    <row r="24" spans="1:41" ht="16.5" customHeight="1" x14ac:dyDescent="0.35">
      <c r="B24" s="35">
        <v>512</v>
      </c>
      <c r="C24" s="11">
        <v>96</v>
      </c>
      <c r="D24" s="11">
        <f t="shared" si="6"/>
        <v>768</v>
      </c>
      <c r="E24" s="17">
        <v>176.47</v>
      </c>
      <c r="G24" s="35">
        <v>512</v>
      </c>
      <c r="H24" s="11">
        <v>96</v>
      </c>
      <c r="I24" s="11">
        <f t="shared" si="7"/>
        <v>1536</v>
      </c>
      <c r="J24" s="17">
        <v>142.6</v>
      </c>
      <c r="L24" s="35">
        <v>512</v>
      </c>
      <c r="M24" s="11">
        <v>96</v>
      </c>
      <c r="N24" s="11">
        <f t="shared" si="0"/>
        <v>2304</v>
      </c>
      <c r="O24" s="17"/>
      <c r="Q24" s="35">
        <v>512</v>
      </c>
      <c r="R24" s="11">
        <v>96</v>
      </c>
      <c r="S24" s="11">
        <f t="shared" si="1"/>
        <v>3072</v>
      </c>
      <c r="T24" s="17"/>
      <c r="V24" s="35">
        <v>512</v>
      </c>
      <c r="W24" s="11">
        <v>96</v>
      </c>
      <c r="X24" s="11">
        <f t="shared" si="2"/>
        <v>3840</v>
      </c>
      <c r="Y24" s="17"/>
      <c r="AA24" s="35">
        <v>512</v>
      </c>
      <c r="AB24" s="11">
        <v>96</v>
      </c>
      <c r="AC24" s="11">
        <f t="shared" si="3"/>
        <v>4608</v>
      </c>
      <c r="AD24" s="17"/>
      <c r="AF24" s="35">
        <v>512</v>
      </c>
      <c r="AG24" s="11">
        <v>96</v>
      </c>
      <c r="AH24" s="11">
        <f t="shared" si="4"/>
        <v>4608</v>
      </c>
      <c r="AI24" s="64"/>
      <c r="AJ24" s="86"/>
      <c r="AK24" s="78">
        <v>512</v>
      </c>
      <c r="AL24" s="11">
        <v>96</v>
      </c>
      <c r="AM24" s="11">
        <f t="shared" si="5"/>
        <v>9216</v>
      </c>
      <c r="AN24" s="17"/>
      <c r="AO24" s="4"/>
    </row>
    <row r="25" spans="1:41" ht="16.5" customHeight="1" x14ac:dyDescent="0.35">
      <c r="B25" s="34">
        <v>32</v>
      </c>
      <c r="C25" s="44">
        <v>128</v>
      </c>
      <c r="D25" s="44">
        <f t="shared" si="6"/>
        <v>1024</v>
      </c>
      <c r="E25" s="16">
        <v>209.04</v>
      </c>
      <c r="G25" s="34">
        <v>32</v>
      </c>
      <c r="H25" s="44">
        <v>128</v>
      </c>
      <c r="I25" s="44">
        <f t="shared" si="7"/>
        <v>2048</v>
      </c>
      <c r="J25" s="16">
        <v>201.69</v>
      </c>
      <c r="L25" s="34">
        <v>32</v>
      </c>
      <c r="M25" s="44">
        <v>128</v>
      </c>
      <c r="N25" s="11">
        <f t="shared" si="0"/>
        <v>3072</v>
      </c>
      <c r="O25" s="16"/>
      <c r="Q25" s="34">
        <v>32</v>
      </c>
      <c r="R25" s="44">
        <v>128</v>
      </c>
      <c r="S25" s="11">
        <f t="shared" si="1"/>
        <v>4096</v>
      </c>
      <c r="T25" s="16"/>
      <c r="V25" s="34">
        <v>32</v>
      </c>
      <c r="W25" s="44">
        <v>128</v>
      </c>
      <c r="X25" s="11">
        <f t="shared" si="2"/>
        <v>5120</v>
      </c>
      <c r="Y25" s="16"/>
      <c r="AA25" s="34">
        <v>32</v>
      </c>
      <c r="AB25" s="44">
        <v>128</v>
      </c>
      <c r="AC25" s="11">
        <f t="shared" si="3"/>
        <v>6144</v>
      </c>
      <c r="AD25" s="16"/>
      <c r="AF25" s="34">
        <v>32</v>
      </c>
      <c r="AG25" s="44">
        <v>128</v>
      </c>
      <c r="AH25" s="11">
        <f t="shared" si="4"/>
        <v>6144</v>
      </c>
      <c r="AI25" s="62"/>
      <c r="AJ25" s="86"/>
      <c r="AK25" s="77">
        <v>32</v>
      </c>
      <c r="AL25" s="44">
        <v>128</v>
      </c>
      <c r="AM25" s="11">
        <f t="shared" si="5"/>
        <v>12288</v>
      </c>
      <c r="AN25" s="16"/>
      <c r="AO25" s="4"/>
    </row>
    <row r="26" spans="1:41" ht="16.5" customHeight="1" x14ac:dyDescent="0.35">
      <c r="B26" s="35">
        <v>64</v>
      </c>
      <c r="C26" s="11">
        <v>128</v>
      </c>
      <c r="D26" s="11">
        <f t="shared" si="6"/>
        <v>1024</v>
      </c>
      <c r="E26" s="17">
        <v>215.63</v>
      </c>
      <c r="G26" s="35">
        <v>64</v>
      </c>
      <c r="H26" s="11">
        <v>128</v>
      </c>
      <c r="I26" s="11">
        <f t="shared" si="7"/>
        <v>2048</v>
      </c>
      <c r="J26" s="17">
        <v>207.21</v>
      </c>
      <c r="L26" s="35">
        <v>64</v>
      </c>
      <c r="M26" s="11">
        <v>128</v>
      </c>
      <c r="N26" s="11">
        <f t="shared" si="0"/>
        <v>3072</v>
      </c>
      <c r="O26" s="17"/>
      <c r="Q26" s="35">
        <v>64</v>
      </c>
      <c r="R26" s="11">
        <v>128</v>
      </c>
      <c r="S26" s="11">
        <f t="shared" si="1"/>
        <v>4096</v>
      </c>
      <c r="T26" s="17"/>
      <c r="V26" s="35">
        <v>64</v>
      </c>
      <c r="W26" s="11">
        <v>128</v>
      </c>
      <c r="X26" s="11">
        <f t="shared" si="2"/>
        <v>5120</v>
      </c>
      <c r="Y26" s="17"/>
      <c r="AA26" s="35">
        <v>64</v>
      </c>
      <c r="AB26" s="11">
        <v>128</v>
      </c>
      <c r="AC26" s="11">
        <f t="shared" si="3"/>
        <v>6144</v>
      </c>
      <c r="AD26" s="17"/>
      <c r="AF26" s="35">
        <v>64</v>
      </c>
      <c r="AG26" s="11">
        <v>128</v>
      </c>
      <c r="AH26" s="11">
        <f t="shared" si="4"/>
        <v>6144</v>
      </c>
      <c r="AI26" s="64"/>
      <c r="AJ26" s="86"/>
      <c r="AK26" s="78">
        <v>64</v>
      </c>
      <c r="AL26" s="11">
        <v>128</v>
      </c>
      <c r="AM26" s="11">
        <f t="shared" si="5"/>
        <v>12288</v>
      </c>
      <c r="AN26" s="17"/>
      <c r="AO26" s="4"/>
    </row>
    <row r="27" spans="1:41" ht="16.5" customHeight="1" x14ac:dyDescent="0.35">
      <c r="B27" s="35">
        <v>96</v>
      </c>
      <c r="C27" s="11">
        <v>128</v>
      </c>
      <c r="D27" s="11">
        <f t="shared" si="6"/>
        <v>1024</v>
      </c>
      <c r="E27" s="17">
        <v>218.54</v>
      </c>
      <c r="G27" s="35">
        <v>96</v>
      </c>
      <c r="H27" s="11">
        <v>128</v>
      </c>
      <c r="I27" s="11">
        <f t="shared" si="7"/>
        <v>2048</v>
      </c>
      <c r="J27" s="17">
        <v>211.66</v>
      </c>
      <c r="L27" s="35">
        <v>96</v>
      </c>
      <c r="M27" s="11">
        <v>128</v>
      </c>
      <c r="N27" s="11">
        <f t="shared" si="0"/>
        <v>3072</v>
      </c>
      <c r="O27" s="17"/>
      <c r="Q27" s="35">
        <v>96</v>
      </c>
      <c r="R27" s="11">
        <v>128</v>
      </c>
      <c r="S27" s="11">
        <f t="shared" si="1"/>
        <v>4096</v>
      </c>
      <c r="T27" s="17"/>
      <c r="V27" s="35">
        <v>96</v>
      </c>
      <c r="W27" s="11">
        <v>128</v>
      </c>
      <c r="X27" s="11">
        <f t="shared" si="2"/>
        <v>5120</v>
      </c>
      <c r="Y27" s="17"/>
      <c r="AA27" s="35">
        <v>96</v>
      </c>
      <c r="AB27" s="11">
        <v>128</v>
      </c>
      <c r="AC27" s="11">
        <f t="shared" si="3"/>
        <v>6144</v>
      </c>
      <c r="AD27" s="17"/>
      <c r="AF27" s="35">
        <v>96</v>
      </c>
      <c r="AG27" s="11">
        <v>128</v>
      </c>
      <c r="AH27" s="11">
        <f t="shared" si="4"/>
        <v>6144</v>
      </c>
      <c r="AI27" s="64"/>
      <c r="AJ27" s="86"/>
      <c r="AK27" s="78">
        <v>96</v>
      </c>
      <c r="AL27" s="11">
        <v>128</v>
      </c>
      <c r="AM27" s="11">
        <f t="shared" si="5"/>
        <v>12288</v>
      </c>
      <c r="AN27" s="17"/>
      <c r="AO27" s="4"/>
    </row>
    <row r="28" spans="1:41" ht="16.5" customHeight="1" x14ac:dyDescent="0.35">
      <c r="B28" s="35">
        <v>128</v>
      </c>
      <c r="C28" s="11">
        <v>128</v>
      </c>
      <c r="D28" s="11">
        <f t="shared" si="6"/>
        <v>1024</v>
      </c>
      <c r="E28" s="17">
        <v>219.96</v>
      </c>
      <c r="G28" s="35">
        <v>128</v>
      </c>
      <c r="H28" s="11">
        <v>128</v>
      </c>
      <c r="I28" s="11">
        <f t="shared" si="7"/>
        <v>2048</v>
      </c>
      <c r="J28" s="17">
        <v>222.41</v>
      </c>
      <c r="L28" s="35">
        <v>128</v>
      </c>
      <c r="M28" s="11">
        <v>128</v>
      </c>
      <c r="N28" s="11">
        <f t="shared" si="0"/>
        <v>3072</v>
      </c>
      <c r="O28" s="17"/>
      <c r="Q28" s="35">
        <v>128</v>
      </c>
      <c r="R28" s="11">
        <v>128</v>
      </c>
      <c r="S28" s="11">
        <f t="shared" si="1"/>
        <v>4096</v>
      </c>
      <c r="T28" s="17"/>
      <c r="V28" s="35">
        <v>128</v>
      </c>
      <c r="W28" s="11">
        <v>128</v>
      </c>
      <c r="X28" s="11">
        <f t="shared" si="2"/>
        <v>5120</v>
      </c>
      <c r="Y28" s="17"/>
      <c r="AA28" s="35">
        <v>128</v>
      </c>
      <c r="AB28" s="11">
        <v>128</v>
      </c>
      <c r="AC28" s="11">
        <f t="shared" si="3"/>
        <v>6144</v>
      </c>
      <c r="AD28" s="17"/>
      <c r="AF28" s="35">
        <v>128</v>
      </c>
      <c r="AG28" s="11">
        <v>128</v>
      </c>
      <c r="AH28" s="11">
        <f t="shared" si="4"/>
        <v>6144</v>
      </c>
      <c r="AI28" s="64"/>
      <c r="AJ28" s="86"/>
      <c r="AK28" s="78">
        <v>128</v>
      </c>
      <c r="AL28" s="11">
        <v>128</v>
      </c>
      <c r="AM28" s="11">
        <f t="shared" si="5"/>
        <v>12288</v>
      </c>
      <c r="AN28" s="17"/>
      <c r="AO28" s="4"/>
    </row>
    <row r="29" spans="1:41" ht="16.5" customHeight="1" x14ac:dyDescent="0.35">
      <c r="B29" s="35">
        <v>256</v>
      </c>
      <c r="C29" s="11">
        <v>128</v>
      </c>
      <c r="D29" s="11">
        <f t="shared" si="6"/>
        <v>1024</v>
      </c>
      <c r="E29" s="17">
        <v>221.65</v>
      </c>
      <c r="G29" s="35">
        <v>256</v>
      </c>
      <c r="H29" s="11">
        <v>128</v>
      </c>
      <c r="I29" s="11">
        <f t="shared" si="7"/>
        <v>2048</v>
      </c>
      <c r="J29" s="17">
        <v>211.49</v>
      </c>
      <c r="L29" s="35">
        <v>256</v>
      </c>
      <c r="M29" s="11">
        <v>128</v>
      </c>
      <c r="N29" s="11">
        <f t="shared" si="0"/>
        <v>3072</v>
      </c>
      <c r="O29" s="17"/>
      <c r="Q29" s="35">
        <v>256</v>
      </c>
      <c r="R29" s="11">
        <v>128</v>
      </c>
      <c r="S29" s="11">
        <f t="shared" si="1"/>
        <v>4096</v>
      </c>
      <c r="T29" s="17"/>
      <c r="V29" s="35">
        <v>256</v>
      </c>
      <c r="W29" s="11">
        <v>128</v>
      </c>
      <c r="X29" s="11">
        <f t="shared" si="2"/>
        <v>5120</v>
      </c>
      <c r="Y29" s="17"/>
      <c r="AA29" s="35">
        <v>256</v>
      </c>
      <c r="AB29" s="11">
        <v>128</v>
      </c>
      <c r="AC29" s="11">
        <f t="shared" si="3"/>
        <v>6144</v>
      </c>
      <c r="AD29" s="17"/>
      <c r="AF29" s="35">
        <v>256</v>
      </c>
      <c r="AG29" s="11">
        <v>128</v>
      </c>
      <c r="AH29" s="11">
        <f t="shared" si="4"/>
        <v>6144</v>
      </c>
      <c r="AI29" s="64"/>
      <c r="AJ29" s="86"/>
      <c r="AK29" s="78">
        <v>256</v>
      </c>
      <c r="AL29" s="11">
        <v>128</v>
      </c>
      <c r="AM29" s="11">
        <f t="shared" si="5"/>
        <v>12288</v>
      </c>
      <c r="AN29" s="17"/>
      <c r="AO29" s="4"/>
    </row>
    <row r="30" spans="1:41" ht="16.5" customHeight="1" x14ac:dyDescent="0.35">
      <c r="B30" s="35">
        <v>512</v>
      </c>
      <c r="C30" s="11">
        <v>128</v>
      </c>
      <c r="D30" s="11">
        <f t="shared" si="6"/>
        <v>1024</v>
      </c>
      <c r="E30" s="17">
        <v>221.57</v>
      </c>
      <c r="G30" s="35">
        <v>512</v>
      </c>
      <c r="H30" s="11">
        <v>128</v>
      </c>
      <c r="I30" s="11">
        <f t="shared" si="7"/>
        <v>2048</v>
      </c>
      <c r="J30" s="17">
        <v>207.21</v>
      </c>
      <c r="L30" s="35">
        <v>512</v>
      </c>
      <c r="M30" s="11">
        <v>128</v>
      </c>
      <c r="N30" s="11">
        <f t="shared" si="0"/>
        <v>3072</v>
      </c>
      <c r="O30" s="17"/>
      <c r="Q30" s="35">
        <v>512</v>
      </c>
      <c r="R30" s="11">
        <v>128</v>
      </c>
      <c r="S30" s="11">
        <f t="shared" si="1"/>
        <v>4096</v>
      </c>
      <c r="T30" s="17"/>
      <c r="V30" s="35">
        <v>512</v>
      </c>
      <c r="W30" s="11">
        <v>128</v>
      </c>
      <c r="X30" s="11">
        <f t="shared" si="2"/>
        <v>5120</v>
      </c>
      <c r="Y30" s="17"/>
      <c r="AA30" s="35">
        <v>512</v>
      </c>
      <c r="AB30" s="11">
        <v>128</v>
      </c>
      <c r="AC30" s="11">
        <f t="shared" si="3"/>
        <v>6144</v>
      </c>
      <c r="AD30" s="17"/>
      <c r="AF30" s="35">
        <v>512</v>
      </c>
      <c r="AG30" s="11">
        <v>128</v>
      </c>
      <c r="AH30" s="11">
        <f t="shared" si="4"/>
        <v>6144</v>
      </c>
      <c r="AI30" s="64"/>
      <c r="AJ30" s="86"/>
      <c r="AK30" s="78">
        <v>512</v>
      </c>
      <c r="AL30" s="11">
        <v>128</v>
      </c>
      <c r="AM30" s="11">
        <f t="shared" si="5"/>
        <v>12288</v>
      </c>
      <c r="AN30" s="17"/>
      <c r="AO30" s="4"/>
    </row>
    <row r="31" spans="1:41" ht="16.5" customHeight="1" x14ac:dyDescent="0.35">
      <c r="B31" s="34">
        <v>32</v>
      </c>
      <c r="C31" s="44">
        <v>256</v>
      </c>
      <c r="D31" s="44">
        <f t="shared" si="6"/>
        <v>2048</v>
      </c>
      <c r="E31" s="16">
        <v>193.45</v>
      </c>
      <c r="G31" s="34">
        <v>32</v>
      </c>
      <c r="H31" s="44">
        <v>256</v>
      </c>
      <c r="I31" s="44">
        <f t="shared" si="7"/>
        <v>4096</v>
      </c>
      <c r="J31" s="16">
        <v>192.77</v>
      </c>
      <c r="L31" s="34">
        <v>32</v>
      </c>
      <c r="M31" s="44">
        <v>256</v>
      </c>
      <c r="N31" s="11">
        <f t="shared" si="0"/>
        <v>6144</v>
      </c>
      <c r="O31" s="16"/>
      <c r="Q31" s="34">
        <v>32</v>
      </c>
      <c r="R31" s="44">
        <v>256</v>
      </c>
      <c r="S31" s="11">
        <f t="shared" si="1"/>
        <v>8192</v>
      </c>
      <c r="T31" s="16"/>
      <c r="V31" s="34">
        <v>32</v>
      </c>
      <c r="W31" s="44">
        <v>256</v>
      </c>
      <c r="X31" s="11">
        <f t="shared" si="2"/>
        <v>10240</v>
      </c>
      <c r="Y31" s="16"/>
      <c r="AA31" s="34">
        <v>32</v>
      </c>
      <c r="AB31" s="44">
        <v>256</v>
      </c>
      <c r="AC31" s="11">
        <f t="shared" si="3"/>
        <v>12288</v>
      </c>
      <c r="AD31" s="16"/>
      <c r="AF31" s="34">
        <v>32</v>
      </c>
      <c r="AG31" s="44">
        <v>256</v>
      </c>
      <c r="AH31" s="11">
        <f t="shared" si="4"/>
        <v>12288</v>
      </c>
      <c r="AI31" s="62"/>
      <c r="AJ31" s="86"/>
      <c r="AK31" s="77">
        <v>32</v>
      </c>
      <c r="AL31" s="44">
        <v>256</v>
      </c>
      <c r="AM31" s="11">
        <f t="shared" si="5"/>
        <v>24576</v>
      </c>
      <c r="AN31" s="16"/>
      <c r="AO31" s="4"/>
    </row>
    <row r="32" spans="1:41" ht="16.5" customHeight="1" x14ac:dyDescent="0.35">
      <c r="B32" s="35">
        <v>64</v>
      </c>
      <c r="C32" s="11">
        <v>256</v>
      </c>
      <c r="D32" s="11">
        <f t="shared" si="6"/>
        <v>2048</v>
      </c>
      <c r="E32" s="17">
        <v>195.85</v>
      </c>
      <c r="G32" s="35">
        <v>64</v>
      </c>
      <c r="H32" s="11">
        <v>256</v>
      </c>
      <c r="I32" s="11">
        <f t="shared" si="7"/>
        <v>4096</v>
      </c>
      <c r="J32" s="17">
        <v>195.2</v>
      </c>
      <c r="L32" s="35">
        <v>64</v>
      </c>
      <c r="M32" s="11">
        <v>256</v>
      </c>
      <c r="N32" s="11">
        <f t="shared" si="0"/>
        <v>6144</v>
      </c>
      <c r="O32" s="17"/>
      <c r="Q32" s="35">
        <v>64</v>
      </c>
      <c r="R32" s="11">
        <v>256</v>
      </c>
      <c r="S32" s="11">
        <f t="shared" si="1"/>
        <v>8192</v>
      </c>
      <c r="T32" s="17"/>
      <c r="V32" s="35">
        <v>64</v>
      </c>
      <c r="W32" s="11">
        <v>256</v>
      </c>
      <c r="X32" s="11">
        <f t="shared" si="2"/>
        <v>10240</v>
      </c>
      <c r="Y32" s="17"/>
      <c r="AA32" s="35">
        <v>64</v>
      </c>
      <c r="AB32" s="11">
        <v>256</v>
      </c>
      <c r="AC32" s="11">
        <f t="shared" si="3"/>
        <v>12288</v>
      </c>
      <c r="AD32" s="17"/>
      <c r="AF32" s="35">
        <v>64</v>
      </c>
      <c r="AG32" s="11">
        <v>256</v>
      </c>
      <c r="AH32" s="11">
        <f t="shared" si="4"/>
        <v>12288</v>
      </c>
      <c r="AI32" s="64"/>
      <c r="AJ32" s="86"/>
      <c r="AK32" s="78">
        <v>64</v>
      </c>
      <c r="AL32" s="11">
        <v>256</v>
      </c>
      <c r="AM32" s="11">
        <f t="shared" si="5"/>
        <v>24576</v>
      </c>
      <c r="AN32" s="17"/>
      <c r="AO32" s="4"/>
    </row>
    <row r="33" spans="2:41" ht="16.5" customHeight="1" x14ac:dyDescent="0.35">
      <c r="B33" s="35">
        <v>96</v>
      </c>
      <c r="C33" s="11">
        <v>256</v>
      </c>
      <c r="D33" s="11">
        <f t="shared" si="6"/>
        <v>2048</v>
      </c>
      <c r="E33" s="17">
        <v>195.24</v>
      </c>
      <c r="G33" s="35">
        <v>96</v>
      </c>
      <c r="H33" s="11">
        <v>256</v>
      </c>
      <c r="I33" s="11">
        <f t="shared" si="7"/>
        <v>4096</v>
      </c>
      <c r="J33" s="17">
        <v>194.67</v>
      </c>
      <c r="L33" s="35">
        <v>96</v>
      </c>
      <c r="M33" s="11">
        <v>256</v>
      </c>
      <c r="N33" s="11">
        <f t="shared" si="0"/>
        <v>6144</v>
      </c>
      <c r="O33" s="17"/>
      <c r="Q33" s="35">
        <v>96</v>
      </c>
      <c r="R33" s="11">
        <v>256</v>
      </c>
      <c r="S33" s="11">
        <f t="shared" si="1"/>
        <v>8192</v>
      </c>
      <c r="T33" s="17"/>
      <c r="V33" s="35">
        <v>96</v>
      </c>
      <c r="W33" s="11">
        <v>256</v>
      </c>
      <c r="X33" s="11">
        <f t="shared" si="2"/>
        <v>10240</v>
      </c>
      <c r="Y33" s="17"/>
      <c r="AA33" s="35">
        <v>96</v>
      </c>
      <c r="AB33" s="11">
        <v>256</v>
      </c>
      <c r="AC33" s="11">
        <f t="shared" si="3"/>
        <v>12288</v>
      </c>
      <c r="AD33" s="17"/>
      <c r="AF33" s="35">
        <v>96</v>
      </c>
      <c r="AG33" s="11">
        <v>256</v>
      </c>
      <c r="AH33" s="11">
        <f t="shared" si="4"/>
        <v>12288</v>
      </c>
      <c r="AI33" s="64"/>
      <c r="AJ33" s="86"/>
      <c r="AK33" s="78">
        <v>96</v>
      </c>
      <c r="AL33" s="11">
        <v>256</v>
      </c>
      <c r="AM33" s="11">
        <f t="shared" si="5"/>
        <v>24576</v>
      </c>
      <c r="AN33" s="17"/>
      <c r="AO33" s="4"/>
    </row>
    <row r="34" spans="2:41" ht="16.5" customHeight="1" x14ac:dyDescent="0.35">
      <c r="B34" s="35">
        <v>128</v>
      </c>
      <c r="C34" s="11">
        <v>256</v>
      </c>
      <c r="D34" s="11">
        <f t="shared" si="6"/>
        <v>2048</v>
      </c>
      <c r="E34" s="17">
        <v>192.8</v>
      </c>
      <c r="G34" s="35">
        <v>128</v>
      </c>
      <c r="H34" s="11">
        <v>256</v>
      </c>
      <c r="I34" s="11">
        <f t="shared" si="7"/>
        <v>4096</v>
      </c>
      <c r="J34" s="17">
        <v>189.6</v>
      </c>
      <c r="L34" s="35">
        <v>128</v>
      </c>
      <c r="M34" s="11">
        <v>256</v>
      </c>
      <c r="N34" s="11">
        <f t="shared" si="0"/>
        <v>6144</v>
      </c>
      <c r="O34" s="17"/>
      <c r="Q34" s="35">
        <v>128</v>
      </c>
      <c r="R34" s="11">
        <v>256</v>
      </c>
      <c r="S34" s="11">
        <f t="shared" si="1"/>
        <v>8192</v>
      </c>
      <c r="T34" s="17"/>
      <c r="V34" s="35">
        <v>128</v>
      </c>
      <c r="W34" s="11">
        <v>256</v>
      </c>
      <c r="X34" s="11">
        <f t="shared" si="2"/>
        <v>10240</v>
      </c>
      <c r="Y34" s="17"/>
      <c r="AA34" s="35">
        <v>128</v>
      </c>
      <c r="AB34" s="11">
        <v>256</v>
      </c>
      <c r="AC34" s="11">
        <f t="shared" si="3"/>
        <v>12288</v>
      </c>
      <c r="AD34" s="17"/>
      <c r="AF34" s="35">
        <v>128</v>
      </c>
      <c r="AG34" s="11">
        <v>256</v>
      </c>
      <c r="AH34" s="11">
        <f t="shared" si="4"/>
        <v>12288</v>
      </c>
      <c r="AI34" s="64"/>
      <c r="AJ34" s="86"/>
      <c r="AK34" s="78">
        <v>128</v>
      </c>
      <c r="AL34" s="11">
        <v>256</v>
      </c>
      <c r="AM34" s="11">
        <f t="shared" si="5"/>
        <v>24576</v>
      </c>
      <c r="AN34" s="17"/>
      <c r="AO34" s="4"/>
    </row>
    <row r="35" spans="2:41" ht="16.5" customHeight="1" x14ac:dyDescent="0.35">
      <c r="B35" s="5">
        <v>256</v>
      </c>
      <c r="C35" s="12">
        <v>256</v>
      </c>
      <c r="D35" s="12">
        <f t="shared" si="6"/>
        <v>2048</v>
      </c>
      <c r="E35" s="21">
        <v>192.3</v>
      </c>
      <c r="G35" s="5">
        <v>256</v>
      </c>
      <c r="H35" s="12">
        <v>256</v>
      </c>
      <c r="I35" s="11">
        <f t="shared" si="7"/>
        <v>4096</v>
      </c>
      <c r="J35" s="21">
        <v>186.88</v>
      </c>
      <c r="L35" s="5">
        <v>256</v>
      </c>
      <c r="M35" s="12">
        <v>256</v>
      </c>
      <c r="N35" s="11">
        <f t="shared" si="0"/>
        <v>6144</v>
      </c>
      <c r="O35" s="21"/>
      <c r="Q35" s="5">
        <v>256</v>
      </c>
      <c r="R35" s="12">
        <v>256</v>
      </c>
      <c r="S35" s="11">
        <f t="shared" si="1"/>
        <v>8192</v>
      </c>
      <c r="T35" s="21"/>
      <c r="V35" s="5">
        <v>256</v>
      </c>
      <c r="W35" s="12">
        <v>256</v>
      </c>
      <c r="X35" s="11">
        <f t="shared" si="2"/>
        <v>10240</v>
      </c>
      <c r="Y35" s="21"/>
      <c r="AA35" s="5">
        <v>256</v>
      </c>
      <c r="AB35" s="12">
        <v>256</v>
      </c>
      <c r="AC35" s="11">
        <f t="shared" si="3"/>
        <v>12288</v>
      </c>
      <c r="AD35" s="21"/>
      <c r="AF35" s="5">
        <v>256</v>
      </c>
      <c r="AG35" s="12">
        <v>256</v>
      </c>
      <c r="AH35" s="11">
        <f t="shared" si="4"/>
        <v>12288</v>
      </c>
      <c r="AI35" s="73"/>
      <c r="AJ35" s="86"/>
      <c r="AK35" s="80">
        <v>256</v>
      </c>
      <c r="AL35" s="12">
        <v>256</v>
      </c>
      <c r="AM35" s="11">
        <f t="shared" si="5"/>
        <v>24576</v>
      </c>
      <c r="AN35" s="21"/>
      <c r="AO35" s="4"/>
    </row>
    <row r="36" spans="2:41" ht="16.5" customHeight="1" x14ac:dyDescent="0.35">
      <c r="B36" s="34">
        <v>32</v>
      </c>
      <c r="C36" s="44">
        <v>512</v>
      </c>
      <c r="D36" s="44">
        <f t="shared" si="6"/>
        <v>4096</v>
      </c>
      <c r="E36" s="16">
        <v>248.68</v>
      </c>
      <c r="G36" s="34">
        <v>32</v>
      </c>
      <c r="H36" s="44">
        <v>512</v>
      </c>
      <c r="I36" s="44">
        <f t="shared" si="7"/>
        <v>8192</v>
      </c>
      <c r="J36" s="16">
        <v>243.66</v>
      </c>
      <c r="L36" s="34">
        <v>32</v>
      </c>
      <c r="M36" s="44">
        <v>512</v>
      </c>
      <c r="N36" s="11">
        <f t="shared" si="0"/>
        <v>12288</v>
      </c>
      <c r="O36" s="16"/>
      <c r="Q36" s="34">
        <v>32</v>
      </c>
      <c r="R36" s="44">
        <v>512</v>
      </c>
      <c r="S36" s="11">
        <f t="shared" si="1"/>
        <v>16384</v>
      </c>
      <c r="T36" s="16"/>
      <c r="V36" s="34">
        <v>32</v>
      </c>
      <c r="W36" s="44">
        <v>512</v>
      </c>
      <c r="X36" s="11">
        <f t="shared" si="2"/>
        <v>20480</v>
      </c>
      <c r="Y36" s="16"/>
      <c r="AA36" s="34">
        <v>32</v>
      </c>
      <c r="AB36" s="44">
        <v>512</v>
      </c>
      <c r="AC36" s="11">
        <f t="shared" si="3"/>
        <v>24576</v>
      </c>
      <c r="AD36" s="16"/>
      <c r="AF36" s="34">
        <v>32</v>
      </c>
      <c r="AG36" s="44">
        <v>512</v>
      </c>
      <c r="AH36" s="11">
        <f t="shared" si="4"/>
        <v>24576</v>
      </c>
      <c r="AI36" s="62"/>
      <c r="AJ36" s="86"/>
      <c r="AK36" s="77">
        <v>32</v>
      </c>
      <c r="AL36" s="44">
        <v>512</v>
      </c>
      <c r="AM36" s="11">
        <f t="shared" si="5"/>
        <v>49152</v>
      </c>
      <c r="AN36" s="16"/>
      <c r="AO36" s="4"/>
    </row>
    <row r="37" spans="2:41" ht="16.5" customHeight="1" x14ac:dyDescent="0.35">
      <c r="B37" s="35">
        <v>64</v>
      </c>
      <c r="C37" s="11">
        <v>512</v>
      </c>
      <c r="D37" s="11">
        <f t="shared" si="6"/>
        <v>4096</v>
      </c>
      <c r="E37" s="17">
        <v>243.14</v>
      </c>
      <c r="G37" s="35">
        <v>64</v>
      </c>
      <c r="H37" s="11">
        <v>512</v>
      </c>
      <c r="I37" s="11">
        <f t="shared" si="7"/>
        <v>8192</v>
      </c>
      <c r="J37" s="17">
        <v>243.66</v>
      </c>
      <c r="L37" s="35">
        <v>64</v>
      </c>
      <c r="M37" s="11">
        <v>512</v>
      </c>
      <c r="N37" s="11">
        <f t="shared" si="0"/>
        <v>12288</v>
      </c>
      <c r="O37" s="17"/>
      <c r="Q37" s="35">
        <v>64</v>
      </c>
      <c r="R37" s="11">
        <v>512</v>
      </c>
      <c r="S37" s="11">
        <f t="shared" si="1"/>
        <v>16384</v>
      </c>
      <c r="T37" s="17"/>
      <c r="V37" s="35">
        <v>64</v>
      </c>
      <c r="W37" s="11">
        <v>512</v>
      </c>
      <c r="X37" s="11">
        <f t="shared" si="2"/>
        <v>20480</v>
      </c>
      <c r="Y37" s="17"/>
      <c r="AA37" s="35">
        <v>64</v>
      </c>
      <c r="AB37" s="11">
        <v>512</v>
      </c>
      <c r="AC37" s="11">
        <f t="shared" si="3"/>
        <v>24576</v>
      </c>
      <c r="AD37" s="17"/>
      <c r="AF37" s="35">
        <v>64</v>
      </c>
      <c r="AG37" s="11">
        <v>512</v>
      </c>
      <c r="AH37" s="11">
        <f t="shared" si="4"/>
        <v>24576</v>
      </c>
      <c r="AI37" s="64"/>
      <c r="AJ37" s="86"/>
      <c r="AK37" s="78">
        <v>64</v>
      </c>
      <c r="AL37" s="11">
        <v>512</v>
      </c>
      <c r="AM37" s="11">
        <f t="shared" si="5"/>
        <v>49152</v>
      </c>
      <c r="AN37" s="17"/>
      <c r="AO37" s="4"/>
    </row>
    <row r="38" spans="2:41" ht="16.5" customHeight="1" x14ac:dyDescent="0.35">
      <c r="B38" s="35">
        <v>96</v>
      </c>
      <c r="C38" s="11">
        <v>512</v>
      </c>
      <c r="D38" s="11">
        <f t="shared" si="6"/>
        <v>4096</v>
      </c>
      <c r="E38" s="17">
        <v>243.68</v>
      </c>
      <c r="G38" s="35">
        <v>96</v>
      </c>
      <c r="H38" s="11">
        <v>512</v>
      </c>
      <c r="I38" s="11">
        <f t="shared" si="7"/>
        <v>8192</v>
      </c>
      <c r="J38" s="17">
        <v>242.53</v>
      </c>
      <c r="L38" s="35">
        <v>96</v>
      </c>
      <c r="M38" s="11">
        <v>512</v>
      </c>
      <c r="N38" s="11">
        <f t="shared" si="0"/>
        <v>12288</v>
      </c>
      <c r="O38" s="17"/>
      <c r="Q38" s="35">
        <v>96</v>
      </c>
      <c r="R38" s="11">
        <v>512</v>
      </c>
      <c r="S38" s="11">
        <f t="shared" si="1"/>
        <v>16384</v>
      </c>
      <c r="T38" s="17"/>
      <c r="V38" s="35">
        <v>96</v>
      </c>
      <c r="W38" s="11">
        <v>512</v>
      </c>
      <c r="X38" s="11">
        <f t="shared" si="2"/>
        <v>20480</v>
      </c>
      <c r="Y38" s="17"/>
      <c r="AA38" s="35">
        <v>96</v>
      </c>
      <c r="AB38" s="11">
        <v>512</v>
      </c>
      <c r="AC38" s="11">
        <f t="shared" si="3"/>
        <v>24576</v>
      </c>
      <c r="AD38" s="17"/>
      <c r="AF38" s="35">
        <v>96</v>
      </c>
      <c r="AG38" s="11">
        <v>512</v>
      </c>
      <c r="AH38" s="11">
        <f t="shared" si="4"/>
        <v>24576</v>
      </c>
      <c r="AI38" s="64"/>
      <c r="AJ38" s="86"/>
      <c r="AK38" s="78">
        <v>96</v>
      </c>
      <c r="AL38" s="11">
        <v>512</v>
      </c>
      <c r="AM38" s="11">
        <f t="shared" si="5"/>
        <v>49152</v>
      </c>
      <c r="AN38" s="17"/>
      <c r="AO38" s="4"/>
    </row>
    <row r="39" spans="2:41" ht="16.5" customHeight="1" x14ac:dyDescent="0.35">
      <c r="B39" s="26">
        <v>128</v>
      </c>
      <c r="C39" s="27">
        <v>512</v>
      </c>
      <c r="D39" s="27">
        <f t="shared" si="6"/>
        <v>4096</v>
      </c>
      <c r="E39" s="30">
        <v>239.81</v>
      </c>
      <c r="G39" s="26">
        <v>128</v>
      </c>
      <c r="H39" s="27">
        <v>512</v>
      </c>
      <c r="I39" s="27">
        <f t="shared" si="7"/>
        <v>8192</v>
      </c>
      <c r="J39" s="30">
        <v>242.88</v>
      </c>
      <c r="L39" s="26">
        <v>128</v>
      </c>
      <c r="M39" s="27">
        <v>512</v>
      </c>
      <c r="N39" s="11">
        <f t="shared" si="0"/>
        <v>12288</v>
      </c>
      <c r="O39" s="30"/>
      <c r="Q39" s="26">
        <v>128</v>
      </c>
      <c r="R39" s="27">
        <v>512</v>
      </c>
      <c r="S39" s="11">
        <f t="shared" si="1"/>
        <v>16384</v>
      </c>
      <c r="T39" s="30"/>
      <c r="V39" s="26">
        <v>128</v>
      </c>
      <c r="W39" s="27">
        <v>512</v>
      </c>
      <c r="X39" s="11">
        <f t="shared" si="2"/>
        <v>20480</v>
      </c>
      <c r="Y39" s="30"/>
      <c r="AA39" s="26">
        <v>128</v>
      </c>
      <c r="AB39" s="27">
        <v>512</v>
      </c>
      <c r="AC39" s="11">
        <f t="shared" si="3"/>
        <v>24576</v>
      </c>
      <c r="AD39" s="30"/>
      <c r="AF39" s="26">
        <v>128</v>
      </c>
      <c r="AG39" s="27">
        <v>512</v>
      </c>
      <c r="AH39" s="11">
        <f t="shared" si="4"/>
        <v>24576</v>
      </c>
      <c r="AI39" s="75"/>
      <c r="AJ39" s="86"/>
      <c r="AK39" s="81">
        <v>128</v>
      </c>
      <c r="AL39" s="27">
        <v>512</v>
      </c>
      <c r="AM39" s="11">
        <f t="shared" si="5"/>
        <v>49152</v>
      </c>
      <c r="AN39" s="30"/>
      <c r="AO39" s="4"/>
    </row>
    <row r="40" spans="2:41" ht="16.5" customHeight="1" x14ac:dyDescent="0.35">
      <c r="E40" s="4"/>
      <c r="J40" s="4"/>
      <c r="O40" s="4"/>
      <c r="T40" s="4"/>
      <c r="Y40" s="4"/>
      <c r="AD40" s="4"/>
      <c r="AI40" s="4"/>
      <c r="AJ40" s="86"/>
      <c r="AN40" s="4"/>
      <c r="AO40" s="4"/>
    </row>
    <row r="41" spans="2:41" ht="16.5" customHeight="1" x14ac:dyDescent="0.35">
      <c r="E41" s="4"/>
      <c r="J41" s="4"/>
      <c r="O41" s="4"/>
      <c r="T41" s="4"/>
      <c r="Y41" s="4"/>
      <c r="AD41" s="4"/>
      <c r="AI41" s="4"/>
      <c r="AJ41" s="86"/>
      <c r="AN41" s="4"/>
      <c r="AO41" s="4"/>
    </row>
    <row r="42" spans="2:41" ht="16.5" customHeight="1" x14ac:dyDescent="0.35">
      <c r="E42" s="4"/>
      <c r="J42" s="4"/>
      <c r="O42" s="4"/>
      <c r="T42" s="4"/>
      <c r="Y42" s="4"/>
      <c r="AD42" s="4"/>
      <c r="AI42" s="4"/>
      <c r="AJ42" s="86"/>
      <c r="AN42" s="4"/>
      <c r="AO42" s="4"/>
    </row>
    <row r="43" spans="2:41" ht="16.5" customHeight="1" x14ac:dyDescent="0.35">
      <c r="E43" s="4"/>
      <c r="J43" s="4"/>
      <c r="O43" s="4"/>
      <c r="T43" s="4"/>
      <c r="Y43" s="4"/>
      <c r="AD43" s="4"/>
      <c r="AI43" s="4"/>
      <c r="AJ43" s="86"/>
      <c r="AN43" s="4"/>
      <c r="AO43" s="4"/>
    </row>
    <row r="44" spans="2:41" ht="16.5" customHeight="1" x14ac:dyDescent="0.35">
      <c r="E44" s="4"/>
      <c r="J44" s="4"/>
      <c r="O44" s="4"/>
      <c r="T44" s="4"/>
      <c r="Y44" s="4"/>
      <c r="AD44" s="4"/>
      <c r="AI44" s="4"/>
      <c r="AJ44" s="86"/>
      <c r="AN44" s="4"/>
      <c r="AO44" s="4"/>
    </row>
    <row r="45" spans="2:41" ht="16.5" customHeight="1" x14ac:dyDescent="0.35">
      <c r="E45" s="4"/>
      <c r="J45" s="4"/>
      <c r="O45" s="4"/>
      <c r="T45" s="4"/>
      <c r="Y45" s="4"/>
      <c r="AD45" s="4"/>
      <c r="AI45" s="4"/>
      <c r="AJ45" s="86"/>
      <c r="AN45" s="4"/>
      <c r="AO45" s="4"/>
    </row>
    <row r="46" spans="2:41" ht="16.5" customHeight="1" x14ac:dyDescent="0.35">
      <c r="E46" s="4"/>
      <c r="J46" s="4"/>
      <c r="O46" s="4"/>
      <c r="T46" s="4"/>
      <c r="Y46" s="4"/>
      <c r="AD46" s="4"/>
      <c r="AI46" s="4"/>
      <c r="AJ46" s="86"/>
      <c r="AN46" s="4"/>
      <c r="AO46" s="4"/>
    </row>
    <row r="47" spans="2:41" ht="16.5" customHeight="1" x14ac:dyDescent="0.35">
      <c r="E47" s="4"/>
      <c r="J47" s="4"/>
      <c r="O47" s="4"/>
      <c r="T47" s="4"/>
      <c r="Y47" s="4"/>
      <c r="AD47" s="4"/>
      <c r="AI47" s="4"/>
      <c r="AJ47" s="86"/>
      <c r="AN47" s="4"/>
      <c r="AO47" s="4"/>
    </row>
    <row r="48" spans="2:41" ht="16.5" customHeight="1" x14ac:dyDescent="0.35">
      <c r="E48" s="4"/>
      <c r="J48" s="4"/>
      <c r="O48" s="4"/>
      <c r="T48" s="4"/>
      <c r="Y48" s="4"/>
      <c r="AD48" s="4"/>
      <c r="AI48" s="4"/>
      <c r="AJ48" s="86"/>
      <c r="AN48" s="4"/>
      <c r="AO48" s="4"/>
    </row>
    <row r="49" spans="5:41" ht="16.5" customHeight="1" x14ac:dyDescent="0.35">
      <c r="E49" s="4"/>
      <c r="J49" s="4"/>
      <c r="O49" s="4"/>
      <c r="T49" s="4"/>
      <c r="Y49" s="4"/>
      <c r="AD49" s="4"/>
      <c r="AI49" s="4"/>
      <c r="AJ49" s="86"/>
      <c r="AN49" s="4"/>
      <c r="AO49" s="4"/>
    </row>
    <row r="50" spans="5:41" ht="16.5" customHeight="1" x14ac:dyDescent="0.35">
      <c r="E50" s="4"/>
      <c r="J50" s="4"/>
      <c r="O50" s="4"/>
      <c r="T50" s="4"/>
      <c r="Y50" s="4"/>
      <c r="AD50" s="4"/>
      <c r="AI50" s="4"/>
      <c r="AJ50" s="86"/>
      <c r="AN50" s="4"/>
      <c r="AO50" s="4"/>
    </row>
    <row r="51" spans="5:41" ht="16.5" customHeight="1" x14ac:dyDescent="0.35">
      <c r="E51" s="4"/>
      <c r="J51" s="4"/>
      <c r="O51" s="4"/>
      <c r="T51" s="4"/>
      <c r="Y51" s="4"/>
      <c r="AD51" s="4"/>
      <c r="AI51" s="4"/>
      <c r="AJ51" s="86"/>
      <c r="AN51" s="4"/>
      <c r="AO51" s="4"/>
    </row>
    <row r="52" spans="5:41" ht="16.5" customHeight="1" x14ac:dyDescent="0.35">
      <c r="E52" s="4"/>
      <c r="J52" s="4"/>
      <c r="O52" s="4"/>
      <c r="T52" s="4"/>
      <c r="Y52" s="4"/>
      <c r="AD52" s="4"/>
      <c r="AI52" s="4"/>
      <c r="AJ52" s="86"/>
      <c r="AN52" s="4"/>
      <c r="AO52" s="4"/>
    </row>
    <row r="53" spans="5:41" ht="16.5" customHeight="1" x14ac:dyDescent="0.35">
      <c r="E53" s="4"/>
      <c r="J53" s="4"/>
      <c r="O53" s="4"/>
      <c r="T53" s="4"/>
      <c r="Y53" s="4"/>
      <c r="AD53" s="4"/>
      <c r="AI53" s="4"/>
      <c r="AJ53" s="86"/>
      <c r="AN53" s="4"/>
      <c r="AO53" s="4"/>
    </row>
    <row r="54" spans="5:41" ht="16.5" customHeight="1" x14ac:dyDescent="0.35">
      <c r="E54" s="4"/>
      <c r="J54" s="4"/>
      <c r="O54" s="4"/>
      <c r="T54" s="4"/>
      <c r="Y54" s="4"/>
      <c r="AD54" s="4"/>
      <c r="AI54" s="4"/>
      <c r="AJ54" s="86"/>
      <c r="AN54" s="4"/>
      <c r="AO54" s="4"/>
    </row>
    <row r="55" spans="5:41" ht="16.5" customHeight="1" x14ac:dyDescent="0.35">
      <c r="E55" s="4"/>
      <c r="J55" s="4"/>
      <c r="O55" s="4"/>
      <c r="T55" s="4"/>
      <c r="Y55" s="4"/>
      <c r="AD55" s="4"/>
      <c r="AI55" s="4"/>
      <c r="AJ55" s="86"/>
      <c r="AN55" s="4"/>
      <c r="AO55" s="4"/>
    </row>
    <row r="56" spans="5:41" ht="16.5" customHeight="1" x14ac:dyDescent="0.35">
      <c r="E56" s="4"/>
      <c r="J56" s="4"/>
      <c r="O56" s="4"/>
      <c r="T56" s="4"/>
      <c r="Y56" s="4"/>
      <c r="AD56" s="4"/>
      <c r="AI56" s="4"/>
      <c r="AJ56" s="86"/>
      <c r="AN56" s="4"/>
      <c r="AO56" s="4"/>
    </row>
    <row r="57" spans="5:41" ht="16.5" customHeight="1" x14ac:dyDescent="0.35">
      <c r="E57" s="4"/>
      <c r="J57" s="4"/>
      <c r="O57" s="4"/>
      <c r="T57" s="4"/>
      <c r="Y57" s="4"/>
      <c r="AD57" s="4"/>
      <c r="AI57" s="4"/>
      <c r="AJ57" s="86"/>
      <c r="AN57" s="4"/>
      <c r="AO57" s="4"/>
    </row>
    <row r="58" spans="5:41" ht="16.5" customHeight="1" x14ac:dyDescent="0.35">
      <c r="E58" s="4"/>
      <c r="J58" s="4"/>
      <c r="O58" s="4"/>
      <c r="T58" s="4"/>
      <c r="Y58" s="4"/>
      <c r="AD58" s="4"/>
      <c r="AI58" s="4"/>
      <c r="AJ58" s="86"/>
      <c r="AN58" s="4"/>
      <c r="AO58" s="4"/>
    </row>
    <row r="59" spans="5:41" ht="16.5" customHeight="1" x14ac:dyDescent="0.35">
      <c r="E59" s="4"/>
      <c r="J59" s="4"/>
      <c r="O59" s="4"/>
      <c r="T59" s="4"/>
      <c r="Y59" s="4"/>
      <c r="AD59" s="4"/>
      <c r="AI59" s="4"/>
      <c r="AJ59" s="86"/>
      <c r="AN59" s="4"/>
      <c r="AO59" s="4"/>
    </row>
    <row r="60" spans="5:41" ht="16.5" customHeight="1" x14ac:dyDescent="0.35">
      <c r="E60" s="4"/>
      <c r="J60" s="4"/>
      <c r="O60" s="4"/>
      <c r="T60" s="4"/>
      <c r="Y60" s="4"/>
      <c r="AD60" s="4"/>
      <c r="AI60" s="4"/>
      <c r="AJ60" s="86"/>
      <c r="AN60" s="4"/>
      <c r="AO60" s="4"/>
    </row>
    <row r="61" spans="5:41" ht="16.5" customHeight="1" x14ac:dyDescent="0.35">
      <c r="E61" s="4"/>
      <c r="J61" s="4"/>
      <c r="O61" s="4"/>
      <c r="T61" s="4"/>
      <c r="Y61" s="4"/>
      <c r="AD61" s="4"/>
      <c r="AI61" s="4"/>
      <c r="AJ61" s="86"/>
      <c r="AN61" s="4"/>
      <c r="AO61" s="4"/>
    </row>
    <row r="62" spans="5:41" ht="16.5" customHeight="1" x14ac:dyDescent="0.35">
      <c r="E62" s="4"/>
      <c r="J62" s="4"/>
      <c r="O62" s="4"/>
      <c r="T62" s="4"/>
      <c r="Y62" s="4"/>
      <c r="AD62" s="4"/>
      <c r="AI62" s="4"/>
      <c r="AJ62" s="86"/>
      <c r="AN62" s="4"/>
      <c r="AO62" s="4"/>
    </row>
    <row r="63" spans="5:41" ht="16.5" customHeight="1" x14ac:dyDescent="0.35">
      <c r="E63" s="4"/>
      <c r="J63" s="4"/>
      <c r="O63" s="4"/>
      <c r="T63" s="4"/>
      <c r="Y63" s="4"/>
      <c r="AD63" s="4"/>
      <c r="AI63" s="4"/>
      <c r="AJ63" s="86"/>
      <c r="AN63" s="4"/>
      <c r="AO63" s="4"/>
    </row>
    <row r="64" spans="5:41" ht="16.5" customHeight="1" x14ac:dyDescent="0.35">
      <c r="E64" s="4"/>
      <c r="J64" s="4"/>
      <c r="O64" s="4"/>
      <c r="T64" s="4"/>
      <c r="Y64" s="4"/>
      <c r="AD64" s="4"/>
      <c r="AI64" s="4"/>
      <c r="AJ64" s="86"/>
      <c r="AN64" s="4"/>
      <c r="AO64" s="4"/>
    </row>
    <row r="65" spans="5:41" ht="16.5" customHeight="1" x14ac:dyDescent="0.35">
      <c r="E65" s="4"/>
      <c r="J65" s="4"/>
      <c r="O65" s="4"/>
      <c r="T65" s="4"/>
      <c r="Y65" s="4"/>
      <c r="AD65" s="4"/>
      <c r="AI65" s="4"/>
      <c r="AJ65" s="86"/>
      <c r="AN65" s="4"/>
      <c r="AO65" s="4"/>
    </row>
    <row r="66" spans="5:41" ht="16.5" customHeight="1" x14ac:dyDescent="0.35">
      <c r="E66" s="4"/>
      <c r="J66" s="4"/>
      <c r="O66" s="4"/>
      <c r="T66" s="4"/>
      <c r="Y66" s="4"/>
      <c r="AD66" s="4"/>
      <c r="AI66" s="4"/>
      <c r="AJ66" s="86"/>
      <c r="AN66" s="4"/>
      <c r="AO66" s="4"/>
    </row>
    <row r="67" spans="5:41" ht="16.5" customHeight="1" x14ac:dyDescent="0.35">
      <c r="E67" s="4"/>
      <c r="J67" s="4"/>
      <c r="O67" s="4"/>
      <c r="T67" s="4"/>
      <c r="Y67" s="4"/>
      <c r="AD67" s="4"/>
      <c r="AI67" s="4"/>
      <c r="AJ67" s="86"/>
      <c r="AN67" s="4"/>
      <c r="AO67" s="4"/>
    </row>
    <row r="68" spans="5:41" ht="16.5" customHeight="1" x14ac:dyDescent="0.35">
      <c r="E68" s="4"/>
      <c r="J68" s="4"/>
      <c r="O68" s="4"/>
      <c r="T68" s="4"/>
      <c r="Y68" s="4"/>
      <c r="AD68" s="4"/>
      <c r="AI68" s="4"/>
      <c r="AJ68" s="86"/>
      <c r="AN68" s="4"/>
      <c r="AO68" s="4"/>
    </row>
    <row r="69" spans="5:41" ht="16.5" customHeight="1" x14ac:dyDescent="0.35">
      <c r="E69" s="4"/>
      <c r="J69" s="4"/>
      <c r="O69" s="4"/>
      <c r="T69" s="4"/>
      <c r="Y69" s="4"/>
      <c r="AD69" s="4"/>
      <c r="AI69" s="4"/>
      <c r="AJ69" s="86"/>
      <c r="AN69" s="4"/>
      <c r="AO69" s="4"/>
    </row>
    <row r="70" spans="5:41" ht="16.5" customHeight="1" x14ac:dyDescent="0.35">
      <c r="E70" s="4"/>
      <c r="J70" s="4"/>
      <c r="O70" s="4"/>
      <c r="T70" s="4"/>
      <c r="Y70" s="4"/>
      <c r="AD70" s="4"/>
      <c r="AI70" s="4"/>
      <c r="AJ70" s="86"/>
      <c r="AN70" s="4"/>
      <c r="AO70" s="4"/>
    </row>
    <row r="71" spans="5:41" ht="16.5" customHeight="1" x14ac:dyDescent="0.35">
      <c r="E71" s="4"/>
      <c r="J71" s="4"/>
      <c r="O71" s="4"/>
      <c r="T71" s="4"/>
      <c r="Y71" s="4"/>
      <c r="AD71" s="4"/>
      <c r="AI71" s="4"/>
      <c r="AJ71" s="86"/>
      <c r="AN71" s="4"/>
      <c r="AO71" s="4"/>
    </row>
    <row r="72" spans="5:41" ht="16.5" customHeight="1" x14ac:dyDescent="0.35">
      <c r="E72" s="4"/>
      <c r="J72" s="4"/>
      <c r="O72" s="4"/>
      <c r="T72" s="4"/>
      <c r="Y72" s="4"/>
      <c r="AD72" s="4"/>
      <c r="AI72" s="4"/>
      <c r="AJ72" s="86"/>
      <c r="AN72" s="4"/>
      <c r="AO72" s="4"/>
    </row>
    <row r="73" spans="5:41" ht="16.5" customHeight="1" x14ac:dyDescent="0.35">
      <c r="E73" s="4"/>
      <c r="J73" s="4"/>
      <c r="O73" s="4"/>
      <c r="T73" s="4"/>
      <c r="Y73" s="4"/>
      <c r="AD73" s="4"/>
      <c r="AI73" s="4"/>
      <c r="AJ73" s="86"/>
      <c r="AN73" s="4"/>
      <c r="AO73" s="4"/>
    </row>
    <row r="74" spans="5:41" ht="16.5" customHeight="1" x14ac:dyDescent="0.35">
      <c r="E74" s="4"/>
      <c r="J74" s="4"/>
      <c r="O74" s="4"/>
      <c r="T74" s="4"/>
      <c r="Y74" s="4"/>
      <c r="AD74" s="4"/>
      <c r="AI74" s="4"/>
      <c r="AJ74" s="86"/>
      <c r="AN74" s="4"/>
      <c r="AO74" s="4"/>
    </row>
    <row r="75" spans="5:41" ht="16.5" customHeight="1" x14ac:dyDescent="0.35">
      <c r="E75" s="4"/>
      <c r="J75" s="4"/>
      <c r="O75" s="4"/>
      <c r="T75" s="4"/>
      <c r="Y75" s="4"/>
      <c r="AD75" s="4"/>
      <c r="AI75" s="4"/>
      <c r="AJ75" s="86"/>
      <c r="AN75" s="4"/>
      <c r="AO75" s="4"/>
    </row>
    <row r="76" spans="5:41" ht="16.5" customHeight="1" x14ac:dyDescent="0.35">
      <c r="E76" s="4"/>
      <c r="J76" s="4"/>
      <c r="O76" s="4"/>
      <c r="T76" s="4"/>
      <c r="Y76" s="4"/>
      <c r="AD76" s="4"/>
      <c r="AI76" s="4"/>
      <c r="AJ76" s="86"/>
      <c r="AN76" s="4"/>
      <c r="AO76" s="4"/>
    </row>
    <row r="77" spans="5:41" ht="16.5" customHeight="1" x14ac:dyDescent="0.35">
      <c r="E77" s="4"/>
      <c r="J77" s="4"/>
      <c r="O77" s="4"/>
      <c r="T77" s="4"/>
      <c r="Y77" s="4"/>
      <c r="AD77" s="4"/>
      <c r="AI77" s="4"/>
      <c r="AJ77" s="86"/>
      <c r="AN77" s="4"/>
      <c r="AO77" s="4"/>
    </row>
    <row r="78" spans="5:41" ht="16.5" customHeight="1" x14ac:dyDescent="0.35">
      <c r="E78" s="4"/>
      <c r="J78" s="4"/>
      <c r="O78" s="4"/>
      <c r="T78" s="4"/>
      <c r="Y78" s="4"/>
      <c r="AD78" s="4"/>
      <c r="AI78" s="4"/>
      <c r="AJ78" s="86"/>
      <c r="AN78" s="4"/>
      <c r="AO78" s="4"/>
    </row>
    <row r="79" spans="5:41" ht="16.5" customHeight="1" x14ac:dyDescent="0.35">
      <c r="E79" s="4"/>
      <c r="J79" s="4"/>
      <c r="O79" s="4"/>
      <c r="T79" s="4"/>
      <c r="Y79" s="4"/>
      <c r="AD79" s="4"/>
      <c r="AI79" s="4"/>
      <c r="AJ79" s="86"/>
      <c r="AN79" s="4"/>
      <c r="AO79" s="4"/>
    </row>
    <row r="80" spans="5:41" ht="16.5" customHeight="1" x14ac:dyDescent="0.35">
      <c r="E80" s="4"/>
      <c r="J80" s="4"/>
      <c r="O80" s="4"/>
      <c r="T80" s="4"/>
      <c r="Y80" s="4"/>
      <c r="AD80" s="4"/>
      <c r="AI80" s="4"/>
      <c r="AJ80" s="86"/>
      <c r="AN80" s="4"/>
      <c r="AO80" s="4"/>
    </row>
    <row r="81" spans="5:41" ht="16.5" customHeight="1" x14ac:dyDescent="0.35">
      <c r="E81" s="4"/>
      <c r="J81" s="4"/>
      <c r="O81" s="4"/>
      <c r="T81" s="4"/>
      <c r="Y81" s="4"/>
      <c r="AD81" s="4"/>
      <c r="AI81" s="4"/>
      <c r="AJ81" s="86"/>
      <c r="AN81" s="4"/>
      <c r="AO81" s="4"/>
    </row>
    <row r="82" spans="5:41" ht="16.5" customHeight="1" x14ac:dyDescent="0.35">
      <c r="E82" s="4"/>
      <c r="J82" s="4"/>
      <c r="O82" s="4"/>
      <c r="T82" s="4"/>
      <c r="Y82" s="4"/>
      <c r="AD82" s="4"/>
      <c r="AI82" s="4"/>
      <c r="AJ82" s="86"/>
      <c r="AN82" s="4"/>
      <c r="AO82" s="4"/>
    </row>
    <row r="83" spans="5:41" ht="16.5" customHeight="1" x14ac:dyDescent="0.35">
      <c r="E83" s="4"/>
      <c r="J83" s="4"/>
      <c r="O83" s="4"/>
      <c r="T83" s="4"/>
      <c r="Y83" s="4"/>
      <c r="AD83" s="4"/>
      <c r="AI83" s="4"/>
      <c r="AJ83" s="86"/>
      <c r="AN83" s="4"/>
      <c r="AO83" s="4"/>
    </row>
    <row r="84" spans="5:41" ht="16.5" customHeight="1" x14ac:dyDescent="0.35">
      <c r="E84" s="4"/>
      <c r="J84" s="4"/>
      <c r="O84" s="4"/>
      <c r="T84" s="4"/>
      <c r="Y84" s="4"/>
      <c r="AD84" s="4"/>
      <c r="AI84" s="4"/>
      <c r="AJ84" s="86"/>
      <c r="AN84" s="4"/>
      <c r="AO84" s="4"/>
    </row>
    <row r="85" spans="5:41" ht="16.5" customHeight="1" x14ac:dyDescent="0.35">
      <c r="E85" s="4"/>
      <c r="J85" s="4"/>
      <c r="O85" s="4"/>
      <c r="T85" s="4"/>
      <c r="Y85" s="4"/>
      <c r="AD85" s="4"/>
      <c r="AI85" s="4"/>
      <c r="AJ85" s="86"/>
      <c r="AN85" s="4"/>
      <c r="AO85" s="4"/>
    </row>
    <row r="86" spans="5:41" ht="16.5" customHeight="1" x14ac:dyDescent="0.35">
      <c r="E86" s="4"/>
      <c r="J86" s="4"/>
      <c r="O86" s="4"/>
      <c r="T86" s="4"/>
      <c r="Y86" s="4"/>
      <c r="AD86" s="4"/>
      <c r="AI86" s="4"/>
      <c r="AJ86" s="86"/>
      <c r="AN86" s="4"/>
      <c r="AO86" s="4"/>
    </row>
    <row r="87" spans="5:41" ht="16.5" customHeight="1" x14ac:dyDescent="0.35">
      <c r="E87" s="4"/>
      <c r="J87" s="4"/>
      <c r="O87" s="4"/>
      <c r="T87" s="4"/>
      <c r="Y87" s="4"/>
      <c r="AD87" s="4"/>
      <c r="AI87" s="4"/>
      <c r="AJ87" s="86"/>
      <c r="AN87" s="4"/>
      <c r="AO87" s="4"/>
    </row>
    <row r="88" spans="5:41" ht="16.5" customHeight="1" x14ac:dyDescent="0.35">
      <c r="E88" s="4"/>
      <c r="J88" s="4"/>
      <c r="O88" s="4"/>
      <c r="T88" s="4"/>
      <c r="Y88" s="4"/>
      <c r="AD88" s="4"/>
      <c r="AI88" s="4"/>
      <c r="AJ88" s="86"/>
      <c r="AN88" s="4"/>
      <c r="AO88" s="4"/>
    </row>
    <row r="89" spans="5:41" ht="16.5" customHeight="1" x14ac:dyDescent="0.35">
      <c r="E89" s="4"/>
      <c r="J89" s="4"/>
      <c r="O89" s="4"/>
      <c r="T89" s="4"/>
      <c r="Y89" s="4"/>
      <c r="AD89" s="4"/>
      <c r="AI89" s="4"/>
      <c r="AJ89" s="86"/>
      <c r="AN89" s="4"/>
      <c r="AO89" s="4"/>
    </row>
    <row r="90" spans="5:41" ht="16.5" customHeight="1" x14ac:dyDescent="0.35">
      <c r="E90" s="4"/>
      <c r="J90" s="4"/>
      <c r="O90" s="4"/>
      <c r="T90" s="4"/>
      <c r="Y90" s="4"/>
      <c r="AD90" s="4"/>
      <c r="AI90" s="4"/>
      <c r="AJ90" s="86"/>
      <c r="AN90" s="4"/>
      <c r="AO90" s="4"/>
    </row>
    <row r="91" spans="5:41" ht="16.5" customHeight="1" x14ac:dyDescent="0.35">
      <c r="E91" s="4"/>
      <c r="J91" s="4"/>
      <c r="O91" s="4"/>
      <c r="T91" s="4"/>
      <c r="Y91" s="4"/>
      <c r="AD91" s="4"/>
      <c r="AI91" s="4"/>
      <c r="AJ91" s="86"/>
      <c r="AN91" s="4"/>
      <c r="AO91" s="4"/>
    </row>
    <row r="92" spans="5:41" ht="16.5" customHeight="1" x14ac:dyDescent="0.35">
      <c r="E92" s="4"/>
      <c r="J92" s="4"/>
      <c r="O92" s="4"/>
      <c r="T92" s="4"/>
      <c r="Y92" s="4"/>
      <c r="AD92" s="4"/>
      <c r="AI92" s="4"/>
      <c r="AJ92" s="86"/>
      <c r="AN92" s="4"/>
      <c r="AO92" s="4"/>
    </row>
    <row r="93" spans="5:41" ht="16.5" customHeight="1" x14ac:dyDescent="0.35">
      <c r="E93" s="4"/>
      <c r="J93" s="4"/>
      <c r="O93" s="4"/>
      <c r="T93" s="4"/>
      <c r="Y93" s="4"/>
      <c r="AD93" s="4"/>
      <c r="AI93" s="4"/>
      <c r="AJ93" s="86"/>
      <c r="AN93" s="4"/>
      <c r="AO93" s="4"/>
    </row>
    <row r="94" spans="5:41" ht="16.5" customHeight="1" x14ac:dyDescent="0.35">
      <c r="E94" s="4"/>
      <c r="J94" s="4"/>
      <c r="O94" s="4"/>
      <c r="T94" s="4"/>
      <c r="Y94" s="4"/>
      <c r="AD94" s="4"/>
      <c r="AI94" s="4"/>
      <c r="AJ94" s="86"/>
      <c r="AN94" s="4"/>
      <c r="AO94" s="4"/>
    </row>
    <row r="95" spans="5:41" ht="16.5" customHeight="1" x14ac:dyDescent="0.35">
      <c r="E95" s="4"/>
      <c r="J95" s="4"/>
      <c r="O95" s="4"/>
      <c r="T95" s="4"/>
      <c r="Y95" s="4"/>
      <c r="AD95" s="4"/>
      <c r="AI95" s="4"/>
      <c r="AJ95" s="86"/>
      <c r="AN95" s="4"/>
      <c r="AO95" s="4"/>
    </row>
    <row r="96" spans="5:41" ht="16.5" customHeight="1" x14ac:dyDescent="0.35">
      <c r="E96" s="4"/>
      <c r="J96" s="4"/>
      <c r="O96" s="4"/>
      <c r="T96" s="4"/>
      <c r="Y96" s="4"/>
      <c r="AD96" s="4"/>
      <c r="AI96" s="4"/>
      <c r="AJ96" s="86"/>
      <c r="AN96" s="4"/>
      <c r="AO96" s="4"/>
    </row>
    <row r="97" spans="5:41" ht="16.5" customHeight="1" x14ac:dyDescent="0.35">
      <c r="E97" s="4"/>
      <c r="J97" s="4"/>
      <c r="O97" s="4"/>
      <c r="T97" s="4"/>
      <c r="Y97" s="4"/>
      <c r="AD97" s="4"/>
      <c r="AI97" s="4"/>
      <c r="AJ97" s="86"/>
      <c r="AN97" s="4"/>
      <c r="AO97" s="4"/>
    </row>
    <row r="98" spans="5:41" ht="16.5" customHeight="1" x14ac:dyDescent="0.35">
      <c r="E98" s="4"/>
      <c r="J98" s="4"/>
      <c r="O98" s="4"/>
      <c r="T98" s="4"/>
      <c r="Y98" s="4"/>
      <c r="AD98" s="4"/>
      <c r="AI98" s="4"/>
      <c r="AJ98" s="86"/>
      <c r="AN98" s="4"/>
      <c r="AO98" s="4"/>
    </row>
    <row r="99" spans="5:41" ht="16.5" customHeight="1" x14ac:dyDescent="0.35">
      <c r="E99" s="4"/>
      <c r="J99" s="4"/>
      <c r="O99" s="4"/>
      <c r="T99" s="4"/>
      <c r="Y99" s="4"/>
      <c r="AD99" s="4"/>
      <c r="AI99" s="4"/>
      <c r="AJ99" s="86"/>
      <c r="AN99" s="4"/>
      <c r="AO99" s="4"/>
    </row>
    <row r="100" spans="5:41" ht="16.5" customHeight="1" x14ac:dyDescent="0.35">
      <c r="E100" s="4"/>
      <c r="J100" s="4"/>
      <c r="O100" s="4"/>
      <c r="T100" s="4"/>
      <c r="Y100" s="4"/>
      <c r="AD100" s="4"/>
      <c r="AI100" s="4"/>
      <c r="AJ100" s="86"/>
      <c r="AN100" s="4"/>
      <c r="AO100" s="4"/>
    </row>
    <row r="101" spans="5:41" ht="16.5" customHeight="1" x14ac:dyDescent="0.35">
      <c r="E101" s="4"/>
      <c r="J101" s="4"/>
      <c r="O101" s="4"/>
      <c r="T101" s="4"/>
      <c r="Y101" s="4"/>
      <c r="AD101" s="4"/>
      <c r="AI101" s="4"/>
      <c r="AJ101" s="86"/>
      <c r="AN101" s="4"/>
      <c r="AO101" s="4"/>
    </row>
    <row r="102" spans="5:41" ht="16.5" customHeight="1" x14ac:dyDescent="0.35">
      <c r="E102" s="4"/>
      <c r="J102" s="4"/>
      <c r="O102" s="4"/>
      <c r="T102" s="4"/>
      <c r="Y102" s="4"/>
      <c r="AD102" s="4"/>
      <c r="AI102" s="4"/>
      <c r="AJ102" s="86"/>
      <c r="AN102" s="4"/>
      <c r="AO102" s="4"/>
    </row>
    <row r="103" spans="5:41" ht="16.5" customHeight="1" x14ac:dyDescent="0.35">
      <c r="E103" s="4"/>
      <c r="J103" s="4"/>
      <c r="O103" s="4"/>
      <c r="T103" s="4"/>
      <c r="Y103" s="4"/>
      <c r="AD103" s="4"/>
      <c r="AI103" s="4"/>
      <c r="AJ103" s="86"/>
      <c r="AN103" s="4"/>
      <c r="AO103" s="4"/>
    </row>
    <row r="104" spans="5:41" ht="16.5" customHeight="1" x14ac:dyDescent="0.35">
      <c r="E104" s="4"/>
      <c r="J104" s="4"/>
      <c r="O104" s="4"/>
      <c r="T104" s="4"/>
      <c r="Y104" s="4"/>
      <c r="AD104" s="4"/>
      <c r="AI104" s="4"/>
      <c r="AJ104" s="86"/>
      <c r="AN104" s="4"/>
      <c r="AO104" s="4"/>
    </row>
    <row r="105" spans="5:41" ht="16.5" customHeight="1" x14ac:dyDescent="0.35">
      <c r="E105" s="4"/>
      <c r="J105" s="4"/>
      <c r="O105" s="4"/>
      <c r="T105" s="4"/>
      <c r="Y105" s="4"/>
      <c r="AD105" s="4"/>
      <c r="AI105" s="4"/>
      <c r="AJ105" s="86"/>
      <c r="AN105" s="4"/>
      <c r="AO105" s="4"/>
    </row>
    <row r="106" spans="5:41" ht="16.5" customHeight="1" x14ac:dyDescent="0.35">
      <c r="E106" s="4"/>
      <c r="J106" s="4"/>
      <c r="O106" s="4"/>
      <c r="T106" s="4"/>
      <c r="Y106" s="4"/>
      <c r="AD106" s="4"/>
      <c r="AI106" s="4"/>
      <c r="AJ106" s="86"/>
      <c r="AN106" s="4"/>
      <c r="AO106" s="4"/>
    </row>
    <row r="107" spans="5:41" ht="16.5" customHeight="1" x14ac:dyDescent="0.35">
      <c r="E107" s="4"/>
      <c r="J107" s="4"/>
      <c r="O107" s="4"/>
      <c r="T107" s="4"/>
      <c r="Y107" s="4"/>
      <c r="AD107" s="4"/>
      <c r="AI107" s="4"/>
      <c r="AJ107" s="86"/>
      <c r="AN107" s="4"/>
      <c r="AO107" s="4"/>
    </row>
    <row r="108" spans="5:41" ht="16.5" customHeight="1" x14ac:dyDescent="0.35">
      <c r="E108" s="4"/>
      <c r="J108" s="4"/>
      <c r="O108" s="4"/>
      <c r="T108" s="4"/>
      <c r="Y108" s="4"/>
      <c r="AD108" s="4"/>
      <c r="AI108" s="4"/>
      <c r="AJ108" s="86"/>
      <c r="AN108" s="4"/>
      <c r="AO108" s="4"/>
    </row>
    <row r="109" spans="5:41" ht="16.5" customHeight="1" x14ac:dyDescent="0.35">
      <c r="E109" s="4"/>
      <c r="J109" s="4"/>
      <c r="O109" s="4"/>
      <c r="T109" s="4"/>
      <c r="Y109" s="4"/>
      <c r="AD109" s="4"/>
      <c r="AI109" s="4"/>
      <c r="AJ109" s="86"/>
      <c r="AN109" s="4"/>
      <c r="AO109" s="4"/>
    </row>
    <row r="110" spans="5:41" ht="16.5" customHeight="1" x14ac:dyDescent="0.35">
      <c r="E110" s="4"/>
      <c r="J110" s="4"/>
      <c r="O110" s="4"/>
      <c r="T110" s="4"/>
      <c r="Y110" s="4"/>
      <c r="AD110" s="4"/>
      <c r="AI110" s="4"/>
      <c r="AJ110" s="86"/>
      <c r="AN110" s="4"/>
      <c r="AO110" s="4"/>
    </row>
    <row r="111" spans="5:41" ht="16.5" customHeight="1" x14ac:dyDescent="0.35">
      <c r="E111" s="4"/>
      <c r="J111" s="4"/>
      <c r="O111" s="4"/>
      <c r="T111" s="4"/>
      <c r="Y111" s="4"/>
      <c r="AD111" s="4"/>
      <c r="AI111" s="4"/>
      <c r="AJ111" s="86"/>
      <c r="AN111" s="4"/>
      <c r="AO111" s="4"/>
    </row>
    <row r="112" spans="5:41" ht="16.5" customHeight="1" x14ac:dyDescent="0.35">
      <c r="E112" s="4"/>
      <c r="J112" s="4"/>
      <c r="O112" s="4"/>
      <c r="T112" s="4"/>
      <c r="Y112" s="4"/>
      <c r="AD112" s="4"/>
      <c r="AI112" s="4"/>
      <c r="AJ112" s="86"/>
      <c r="AN112" s="4"/>
      <c r="AO112" s="4"/>
    </row>
    <row r="113" spans="5:41" ht="16.5" customHeight="1" x14ac:dyDescent="0.35">
      <c r="E113" s="4"/>
      <c r="J113" s="4"/>
      <c r="O113" s="4"/>
      <c r="T113" s="4"/>
      <c r="Y113" s="4"/>
      <c r="AD113" s="4"/>
      <c r="AI113" s="4"/>
      <c r="AJ113" s="86"/>
      <c r="AN113" s="4"/>
      <c r="AO113" s="4"/>
    </row>
    <row r="114" spans="5:41" ht="16.5" customHeight="1" x14ac:dyDescent="0.35">
      <c r="E114" s="4"/>
      <c r="J114" s="4"/>
      <c r="O114" s="4"/>
      <c r="T114" s="4"/>
      <c r="Y114" s="4"/>
      <c r="AD114" s="4"/>
      <c r="AI114" s="4"/>
      <c r="AJ114" s="86"/>
      <c r="AN114" s="4"/>
      <c r="AO114" s="4"/>
    </row>
    <row r="115" spans="5:41" ht="16.5" customHeight="1" x14ac:dyDescent="0.35">
      <c r="E115" s="4"/>
      <c r="J115" s="4"/>
      <c r="O115" s="4"/>
      <c r="T115" s="4"/>
      <c r="Y115" s="4"/>
      <c r="AD115" s="4"/>
      <c r="AI115" s="4"/>
      <c r="AJ115" s="86"/>
      <c r="AN115" s="4"/>
      <c r="AO115" s="4"/>
    </row>
    <row r="116" spans="5:41" ht="16.5" customHeight="1" x14ac:dyDescent="0.35">
      <c r="E116" s="4"/>
      <c r="J116" s="4"/>
      <c r="O116" s="4"/>
      <c r="T116" s="4"/>
      <c r="Y116" s="4"/>
      <c r="AD116" s="4"/>
      <c r="AI116" s="4"/>
      <c r="AJ116" s="86"/>
      <c r="AN116" s="4"/>
      <c r="AO116" s="4"/>
    </row>
    <row r="117" spans="5:41" ht="16.5" customHeight="1" x14ac:dyDescent="0.35">
      <c r="E117" s="4"/>
      <c r="J117" s="4"/>
      <c r="O117" s="4"/>
      <c r="T117" s="4"/>
      <c r="Y117" s="4"/>
      <c r="AD117" s="4"/>
      <c r="AI117" s="4"/>
      <c r="AJ117" s="86"/>
      <c r="AN117" s="4"/>
      <c r="AO117" s="4"/>
    </row>
    <row r="118" spans="5:41" ht="16.5" customHeight="1" x14ac:dyDescent="0.35">
      <c r="E118" s="4"/>
      <c r="J118" s="4"/>
      <c r="O118" s="4"/>
      <c r="T118" s="4"/>
      <c r="Y118" s="4"/>
      <c r="AD118" s="4"/>
      <c r="AI118" s="4"/>
      <c r="AJ118" s="86"/>
      <c r="AN118" s="4"/>
      <c r="AO118" s="4"/>
    </row>
    <row r="119" spans="5:41" ht="16.5" customHeight="1" x14ac:dyDescent="0.35">
      <c r="E119" s="4"/>
      <c r="J119" s="4"/>
      <c r="O119" s="4"/>
      <c r="T119" s="4"/>
      <c r="Y119" s="4"/>
      <c r="AD119" s="4"/>
      <c r="AI119" s="4"/>
      <c r="AJ119" s="86"/>
      <c r="AN119" s="4"/>
      <c r="AO119" s="4"/>
    </row>
    <row r="120" spans="5:41" ht="16.5" customHeight="1" x14ac:dyDescent="0.35">
      <c r="E120" s="4"/>
      <c r="J120" s="4"/>
      <c r="O120" s="4"/>
      <c r="T120" s="4"/>
      <c r="Y120" s="4"/>
      <c r="AD120" s="4"/>
      <c r="AI120" s="4"/>
      <c r="AJ120" s="86"/>
      <c r="AN120" s="4"/>
      <c r="AO120" s="4"/>
    </row>
    <row r="121" spans="5:41" ht="16.5" customHeight="1" x14ac:dyDescent="0.35">
      <c r="E121" s="4"/>
      <c r="J121" s="4"/>
      <c r="O121" s="4"/>
      <c r="T121" s="4"/>
      <c r="Y121" s="4"/>
      <c r="AD121" s="4"/>
      <c r="AI121" s="4"/>
      <c r="AJ121" s="86"/>
      <c r="AN121" s="4"/>
      <c r="AO121" s="4"/>
    </row>
    <row r="122" spans="5:41" ht="16.5" customHeight="1" x14ac:dyDescent="0.35">
      <c r="E122" s="4"/>
      <c r="J122" s="4"/>
      <c r="O122" s="4"/>
      <c r="T122" s="4"/>
      <c r="Y122" s="4"/>
      <c r="AD122" s="4"/>
      <c r="AI122" s="4"/>
      <c r="AJ122" s="86"/>
      <c r="AN122" s="4"/>
      <c r="AO122" s="4"/>
    </row>
    <row r="123" spans="5:41" ht="16.5" customHeight="1" x14ac:dyDescent="0.35">
      <c r="E123" s="4"/>
      <c r="J123" s="4"/>
      <c r="O123" s="4"/>
      <c r="T123" s="4"/>
      <c r="Y123" s="4"/>
      <c r="AD123" s="4"/>
      <c r="AI123" s="4"/>
      <c r="AJ123" s="86"/>
      <c r="AN123" s="4"/>
      <c r="AO123" s="4"/>
    </row>
    <row r="124" spans="5:41" ht="16.5" customHeight="1" x14ac:dyDescent="0.35">
      <c r="E124" s="4"/>
      <c r="J124" s="4"/>
      <c r="O124" s="4"/>
      <c r="T124" s="4"/>
      <c r="Y124" s="4"/>
      <c r="AD124" s="4"/>
      <c r="AI124" s="4"/>
      <c r="AJ124" s="86"/>
      <c r="AN124" s="4"/>
      <c r="AO124" s="4"/>
    </row>
    <row r="125" spans="5:41" ht="16.5" customHeight="1" x14ac:dyDescent="0.35">
      <c r="E125" s="4"/>
      <c r="J125" s="4"/>
      <c r="O125" s="4"/>
      <c r="T125" s="4"/>
      <c r="Y125" s="4"/>
      <c r="AD125" s="4"/>
      <c r="AI125" s="4"/>
      <c r="AJ125" s="86"/>
      <c r="AN125" s="4"/>
      <c r="AO125" s="4"/>
    </row>
    <row r="126" spans="5:41" ht="16.5" customHeight="1" x14ac:dyDescent="0.35">
      <c r="E126" s="4"/>
      <c r="J126" s="4"/>
      <c r="O126" s="4"/>
      <c r="T126" s="4"/>
      <c r="Y126" s="4"/>
      <c r="AD126" s="4"/>
      <c r="AI126" s="4"/>
      <c r="AJ126" s="86"/>
      <c r="AN126" s="4"/>
      <c r="AO126" s="4"/>
    </row>
    <row r="127" spans="5:41" ht="16.5" customHeight="1" x14ac:dyDescent="0.35">
      <c r="E127" s="4"/>
      <c r="J127" s="4"/>
      <c r="O127" s="4"/>
      <c r="T127" s="4"/>
      <c r="Y127" s="4"/>
      <c r="AD127" s="4"/>
      <c r="AI127" s="4"/>
      <c r="AJ127" s="86"/>
      <c r="AN127" s="4"/>
      <c r="AO127" s="4"/>
    </row>
    <row r="128" spans="5:41" ht="16.5" customHeight="1" x14ac:dyDescent="0.35">
      <c r="E128" s="4"/>
      <c r="J128" s="4"/>
      <c r="O128" s="4"/>
      <c r="T128" s="4"/>
      <c r="Y128" s="4"/>
      <c r="AD128" s="4"/>
      <c r="AI128" s="4"/>
      <c r="AJ128" s="86"/>
      <c r="AN128" s="4"/>
      <c r="AO128" s="4"/>
    </row>
    <row r="129" spans="5:41" ht="16.5" customHeight="1" x14ac:dyDescent="0.35">
      <c r="E129" s="4"/>
      <c r="J129" s="4"/>
      <c r="O129" s="4"/>
      <c r="T129" s="4"/>
      <c r="Y129" s="4"/>
      <c r="AD129" s="4"/>
      <c r="AI129" s="4"/>
      <c r="AJ129" s="86"/>
      <c r="AN129" s="4"/>
      <c r="AO129" s="4"/>
    </row>
    <row r="130" spans="5:41" ht="16.5" customHeight="1" x14ac:dyDescent="0.35">
      <c r="E130" s="4"/>
      <c r="J130" s="4"/>
      <c r="O130" s="4"/>
      <c r="T130" s="4"/>
      <c r="Y130" s="4"/>
      <c r="AD130" s="4"/>
      <c r="AI130" s="4"/>
      <c r="AJ130" s="86"/>
      <c r="AN130" s="4"/>
      <c r="AO130" s="4"/>
    </row>
    <row r="131" spans="5:41" ht="16.5" customHeight="1" x14ac:dyDescent="0.35">
      <c r="E131" s="4"/>
      <c r="J131" s="4"/>
      <c r="O131" s="4"/>
      <c r="T131" s="4"/>
      <c r="Y131" s="4"/>
      <c r="AD131" s="4"/>
      <c r="AI131" s="4"/>
      <c r="AJ131" s="86"/>
      <c r="AN131" s="4"/>
      <c r="AO131" s="4"/>
    </row>
    <row r="132" spans="5:41" ht="16.5" customHeight="1" x14ac:dyDescent="0.35">
      <c r="E132" s="4"/>
      <c r="J132" s="4"/>
      <c r="O132" s="4"/>
      <c r="T132" s="4"/>
      <c r="Y132" s="4"/>
      <c r="AD132" s="4"/>
      <c r="AI132" s="4"/>
      <c r="AJ132" s="86"/>
      <c r="AN132" s="4"/>
      <c r="AO132" s="4"/>
    </row>
    <row r="133" spans="5:41" ht="16.5" customHeight="1" x14ac:dyDescent="0.35">
      <c r="E133" s="4"/>
      <c r="J133" s="4"/>
      <c r="O133" s="4"/>
      <c r="T133" s="4"/>
      <c r="Y133" s="4"/>
      <c r="AD133" s="4"/>
      <c r="AI133" s="4"/>
      <c r="AJ133" s="86"/>
      <c r="AN133" s="4"/>
      <c r="AO133" s="4"/>
    </row>
    <row r="134" spans="5:41" ht="16.5" customHeight="1" x14ac:dyDescent="0.35">
      <c r="E134" s="4"/>
      <c r="J134" s="4"/>
      <c r="O134" s="4"/>
      <c r="T134" s="4"/>
      <c r="Y134" s="4"/>
      <c r="AD134" s="4"/>
      <c r="AI134" s="4"/>
      <c r="AJ134" s="86"/>
      <c r="AN134" s="4"/>
      <c r="AO134" s="4"/>
    </row>
    <row r="135" spans="5:41" ht="16.5" customHeight="1" x14ac:dyDescent="0.35">
      <c r="E135" s="4"/>
      <c r="J135" s="4"/>
      <c r="O135" s="4"/>
      <c r="T135" s="4"/>
      <c r="Y135" s="4"/>
      <c r="AD135" s="4"/>
      <c r="AI135" s="4"/>
      <c r="AJ135" s="86"/>
      <c r="AN135" s="4"/>
      <c r="AO135" s="4"/>
    </row>
    <row r="136" spans="5:41" ht="16.5" customHeight="1" x14ac:dyDescent="0.35">
      <c r="E136" s="4"/>
      <c r="J136" s="4"/>
      <c r="O136" s="4"/>
      <c r="T136" s="4"/>
      <c r="Y136" s="4"/>
      <c r="AD136" s="4"/>
      <c r="AI136" s="4"/>
      <c r="AJ136" s="86"/>
      <c r="AN136" s="4"/>
      <c r="AO136" s="4"/>
    </row>
    <row r="137" spans="5:41" ht="16.5" customHeight="1" x14ac:dyDescent="0.35">
      <c r="E137" s="4"/>
      <c r="J137" s="4"/>
      <c r="O137" s="4"/>
      <c r="T137" s="4"/>
      <c r="Y137" s="4"/>
      <c r="AD137" s="4"/>
      <c r="AI137" s="4"/>
      <c r="AJ137" s="86"/>
      <c r="AN137" s="4"/>
      <c r="AO137" s="4"/>
    </row>
    <row r="138" spans="5:41" ht="16.5" customHeight="1" x14ac:dyDescent="0.35">
      <c r="E138" s="4"/>
      <c r="J138" s="4"/>
      <c r="O138" s="4"/>
      <c r="T138" s="4"/>
      <c r="Y138" s="4"/>
      <c r="AD138" s="4"/>
      <c r="AI138" s="4"/>
      <c r="AJ138" s="86"/>
      <c r="AN138" s="4"/>
      <c r="AO138" s="4"/>
    </row>
    <row r="139" spans="5:41" ht="16.5" customHeight="1" x14ac:dyDescent="0.35">
      <c r="E139" s="4"/>
      <c r="J139" s="4"/>
      <c r="O139" s="4"/>
      <c r="T139" s="4"/>
      <c r="Y139" s="4"/>
      <c r="AD139" s="4"/>
      <c r="AI139" s="4"/>
      <c r="AJ139" s="86"/>
      <c r="AN139" s="4"/>
      <c r="AO139" s="4"/>
    </row>
    <row r="140" spans="5:41" ht="16.5" customHeight="1" x14ac:dyDescent="0.35">
      <c r="E140" s="4"/>
      <c r="J140" s="4"/>
      <c r="O140" s="4"/>
      <c r="T140" s="4"/>
      <c r="Y140" s="4"/>
      <c r="AD140" s="4"/>
      <c r="AI140" s="4"/>
      <c r="AJ140" s="86"/>
      <c r="AN140" s="4"/>
      <c r="AO140" s="4"/>
    </row>
    <row r="141" spans="5:41" ht="16.5" customHeight="1" x14ac:dyDescent="0.35">
      <c r="E141" s="4"/>
      <c r="J141" s="4"/>
      <c r="O141" s="4"/>
      <c r="T141" s="4"/>
      <c r="Y141" s="4"/>
      <c r="AD141" s="4"/>
      <c r="AI141" s="4"/>
      <c r="AJ141" s="86"/>
      <c r="AN141" s="4"/>
      <c r="AO141" s="4"/>
    </row>
    <row r="142" spans="5:41" ht="16.5" customHeight="1" x14ac:dyDescent="0.35">
      <c r="E142" s="4"/>
      <c r="J142" s="4"/>
      <c r="O142" s="4"/>
      <c r="T142" s="4"/>
      <c r="Y142" s="4"/>
      <c r="AD142" s="4"/>
      <c r="AI142" s="4"/>
      <c r="AJ142" s="86"/>
      <c r="AN142" s="4"/>
      <c r="AO142" s="4"/>
    </row>
    <row r="143" spans="5:41" ht="16.5" customHeight="1" x14ac:dyDescent="0.35">
      <c r="E143" s="4"/>
      <c r="J143" s="4"/>
      <c r="O143" s="4"/>
      <c r="T143" s="4"/>
      <c r="Y143" s="4"/>
      <c r="AD143" s="4"/>
      <c r="AI143" s="4"/>
      <c r="AJ143" s="86"/>
      <c r="AN143" s="4"/>
      <c r="AO143" s="4"/>
    </row>
    <row r="144" spans="5:41" ht="16.5" customHeight="1" x14ac:dyDescent="0.35">
      <c r="E144" s="4"/>
      <c r="J144" s="4"/>
      <c r="O144" s="4"/>
      <c r="T144" s="4"/>
      <c r="Y144" s="4"/>
      <c r="AD144" s="4"/>
      <c r="AI144" s="4"/>
      <c r="AJ144" s="86"/>
      <c r="AN144" s="4"/>
      <c r="AO144" s="4"/>
    </row>
    <row r="145" spans="5:41" ht="16.5" customHeight="1" x14ac:dyDescent="0.35">
      <c r="E145" s="4"/>
      <c r="J145" s="4"/>
      <c r="O145" s="4"/>
      <c r="T145" s="4"/>
      <c r="Y145" s="4"/>
      <c r="AD145" s="4"/>
      <c r="AI145" s="4"/>
      <c r="AJ145" s="86"/>
      <c r="AN145" s="4"/>
      <c r="AO145" s="4"/>
    </row>
    <row r="146" spans="5:41" ht="16.5" customHeight="1" x14ac:dyDescent="0.35">
      <c r="E146" s="4"/>
      <c r="J146" s="4"/>
      <c r="O146" s="4"/>
      <c r="T146" s="4"/>
      <c r="Y146" s="4"/>
      <c r="AD146" s="4"/>
      <c r="AI146" s="4"/>
      <c r="AJ146" s="86"/>
      <c r="AN146" s="4"/>
      <c r="AO146" s="4"/>
    </row>
    <row r="147" spans="5:41" ht="16.5" customHeight="1" x14ac:dyDescent="0.35">
      <c r="E147" s="4"/>
      <c r="J147" s="4"/>
      <c r="O147" s="4"/>
      <c r="T147" s="4"/>
      <c r="Y147" s="4"/>
      <c r="AD147" s="4"/>
      <c r="AI147" s="4"/>
      <c r="AJ147" s="86"/>
      <c r="AN147" s="4"/>
      <c r="AO147" s="4"/>
    </row>
    <row r="148" spans="5:41" ht="16.5" customHeight="1" x14ac:dyDescent="0.35">
      <c r="E148" s="4"/>
      <c r="J148" s="4"/>
      <c r="O148" s="4"/>
      <c r="T148" s="4"/>
      <c r="Y148" s="4"/>
      <c r="AD148" s="4"/>
      <c r="AI148" s="4"/>
      <c r="AJ148" s="86"/>
      <c r="AN148" s="4"/>
      <c r="AO148" s="4"/>
    </row>
    <row r="149" spans="5:41" ht="16.5" customHeight="1" x14ac:dyDescent="0.35">
      <c r="E149" s="4"/>
      <c r="J149" s="4"/>
      <c r="O149" s="4"/>
      <c r="T149" s="4"/>
      <c r="Y149" s="4"/>
      <c r="AD149" s="4"/>
      <c r="AI149" s="4"/>
      <c r="AJ149" s="86"/>
      <c r="AN149" s="4"/>
      <c r="AO149" s="4"/>
    </row>
    <row r="150" spans="5:41" ht="16.5" customHeight="1" x14ac:dyDescent="0.35">
      <c r="E150" s="4"/>
      <c r="J150" s="4"/>
      <c r="O150" s="4"/>
      <c r="T150" s="4"/>
      <c r="Y150" s="4"/>
      <c r="AD150" s="4"/>
      <c r="AI150" s="4"/>
      <c r="AJ150" s="86"/>
      <c r="AN150" s="4"/>
      <c r="AO150" s="4"/>
    </row>
    <row r="151" spans="5:41" ht="16.5" customHeight="1" x14ac:dyDescent="0.35">
      <c r="E151" s="4"/>
      <c r="J151" s="4"/>
      <c r="O151" s="4"/>
      <c r="T151" s="4"/>
      <c r="Y151" s="4"/>
      <c r="AD151" s="4"/>
      <c r="AI151" s="4"/>
      <c r="AJ151" s="86"/>
      <c r="AN151" s="4"/>
      <c r="AO151" s="4"/>
    </row>
    <row r="152" spans="5:41" ht="16.5" customHeight="1" x14ac:dyDescent="0.35">
      <c r="E152" s="4"/>
      <c r="J152" s="4"/>
      <c r="O152" s="4"/>
      <c r="T152" s="4"/>
      <c r="Y152" s="4"/>
      <c r="AD152" s="4"/>
      <c r="AI152" s="4"/>
      <c r="AJ152" s="86"/>
      <c r="AN152" s="4"/>
      <c r="AO152" s="4"/>
    </row>
    <row r="153" spans="5:41" ht="16.5" customHeight="1" x14ac:dyDescent="0.35">
      <c r="E153" s="4"/>
      <c r="J153" s="4"/>
      <c r="O153" s="4"/>
      <c r="T153" s="4"/>
      <c r="Y153" s="4"/>
      <c r="AD153" s="4"/>
      <c r="AI153" s="4"/>
      <c r="AJ153" s="86"/>
      <c r="AN153" s="4"/>
      <c r="AO153" s="4"/>
    </row>
    <row r="154" spans="5:41" ht="16.5" customHeight="1" x14ac:dyDescent="0.35">
      <c r="E154" s="4"/>
      <c r="J154" s="4"/>
      <c r="O154" s="4"/>
      <c r="T154" s="4"/>
      <c r="Y154" s="4"/>
      <c r="AD154" s="4"/>
      <c r="AI154" s="4"/>
      <c r="AJ154" s="86"/>
      <c r="AN154" s="4"/>
      <c r="AO154" s="4"/>
    </row>
    <row r="155" spans="5:41" ht="16.5" customHeight="1" x14ac:dyDescent="0.35">
      <c r="E155" s="4"/>
      <c r="J155" s="4"/>
      <c r="O155" s="4"/>
      <c r="T155" s="4"/>
      <c r="Y155" s="4"/>
      <c r="AD155" s="4"/>
      <c r="AI155" s="4"/>
      <c r="AJ155" s="86"/>
      <c r="AN155" s="4"/>
      <c r="AO155" s="4"/>
    </row>
    <row r="156" spans="5:41" ht="16.5" customHeight="1" x14ac:dyDescent="0.35">
      <c r="E156" s="4"/>
      <c r="J156" s="4"/>
      <c r="O156" s="4"/>
      <c r="T156" s="4"/>
      <c r="Y156" s="4"/>
      <c r="AD156" s="4"/>
      <c r="AI156" s="4"/>
      <c r="AJ156" s="86"/>
      <c r="AN156" s="4"/>
      <c r="AO156" s="4"/>
    </row>
    <row r="157" spans="5:41" ht="16.5" customHeight="1" x14ac:dyDescent="0.35">
      <c r="E157" s="4"/>
      <c r="J157" s="4"/>
      <c r="O157" s="4"/>
      <c r="T157" s="4"/>
      <c r="Y157" s="4"/>
      <c r="AD157" s="4"/>
      <c r="AI157" s="4"/>
      <c r="AJ157" s="86"/>
      <c r="AN157" s="4"/>
      <c r="AO157" s="4"/>
    </row>
    <row r="158" spans="5:41" ht="16.5" customHeight="1" x14ac:dyDescent="0.35">
      <c r="E158" s="4"/>
      <c r="J158" s="4"/>
      <c r="O158" s="4"/>
      <c r="T158" s="4"/>
      <c r="Y158" s="4"/>
      <c r="AD158" s="4"/>
      <c r="AI158" s="4"/>
      <c r="AJ158" s="86"/>
      <c r="AN158" s="4"/>
      <c r="AO158" s="4"/>
    </row>
    <row r="159" spans="5:41" ht="16.5" customHeight="1" x14ac:dyDescent="0.35">
      <c r="E159" s="4"/>
      <c r="J159" s="4"/>
      <c r="O159" s="4"/>
      <c r="T159" s="4"/>
      <c r="Y159" s="4"/>
      <c r="AD159" s="4"/>
      <c r="AI159" s="4"/>
      <c r="AJ159" s="86"/>
      <c r="AN159" s="4"/>
      <c r="AO159" s="4"/>
    </row>
    <row r="160" spans="5:41" ht="16.5" customHeight="1" x14ac:dyDescent="0.35">
      <c r="E160" s="4"/>
      <c r="J160" s="4"/>
      <c r="O160" s="4"/>
      <c r="T160" s="4"/>
      <c r="Y160" s="4"/>
      <c r="AD160" s="4"/>
      <c r="AI160" s="4"/>
      <c r="AJ160" s="86"/>
      <c r="AN160" s="4"/>
      <c r="AO160" s="4"/>
    </row>
    <row r="161" spans="5:41" ht="16.5" customHeight="1" x14ac:dyDescent="0.35">
      <c r="E161" s="4"/>
      <c r="J161" s="4"/>
      <c r="O161" s="4"/>
      <c r="T161" s="4"/>
      <c r="Y161" s="4"/>
      <c r="AD161" s="4"/>
      <c r="AI161" s="4"/>
      <c r="AJ161" s="86"/>
      <c r="AN161" s="4"/>
      <c r="AO161" s="4"/>
    </row>
    <row r="162" spans="5:41" ht="16.5" customHeight="1" x14ac:dyDescent="0.35">
      <c r="E162" s="4"/>
      <c r="J162" s="4"/>
      <c r="O162" s="4"/>
      <c r="T162" s="4"/>
      <c r="Y162" s="4"/>
      <c r="AD162" s="4"/>
      <c r="AI162" s="4"/>
      <c r="AJ162" s="86"/>
      <c r="AN162" s="4"/>
      <c r="AO162" s="4"/>
    </row>
    <row r="163" spans="5:41" ht="16.5" customHeight="1" x14ac:dyDescent="0.35">
      <c r="E163" s="4"/>
      <c r="J163" s="4"/>
      <c r="O163" s="4"/>
      <c r="T163" s="4"/>
      <c r="Y163" s="4"/>
      <c r="AD163" s="4"/>
      <c r="AI163" s="4"/>
      <c r="AJ163" s="86"/>
      <c r="AN163" s="4"/>
      <c r="AO163" s="4"/>
    </row>
    <row r="164" spans="5:41" ht="16.5" customHeight="1" x14ac:dyDescent="0.35">
      <c r="E164" s="4"/>
      <c r="J164" s="4"/>
      <c r="O164" s="4"/>
      <c r="T164" s="4"/>
      <c r="Y164" s="4"/>
      <c r="AD164" s="4"/>
      <c r="AI164" s="4"/>
      <c r="AJ164" s="86"/>
      <c r="AN164" s="4"/>
      <c r="AO164" s="4"/>
    </row>
    <row r="165" spans="5:41" ht="16.5" customHeight="1" x14ac:dyDescent="0.35">
      <c r="E165" s="4"/>
      <c r="J165" s="4"/>
      <c r="O165" s="4"/>
      <c r="T165" s="4"/>
      <c r="Y165" s="4"/>
      <c r="AD165" s="4"/>
      <c r="AI165" s="4"/>
      <c r="AJ165" s="86"/>
      <c r="AN165" s="4"/>
      <c r="AO165" s="4"/>
    </row>
    <row r="166" spans="5:41" ht="16.5" customHeight="1" x14ac:dyDescent="0.35">
      <c r="E166" s="4"/>
      <c r="J166" s="4"/>
      <c r="O166" s="4"/>
      <c r="T166" s="4"/>
      <c r="Y166" s="4"/>
      <c r="AD166" s="4"/>
      <c r="AI166" s="4"/>
      <c r="AJ166" s="86"/>
      <c r="AN166" s="4"/>
      <c r="AO166" s="4"/>
    </row>
    <row r="167" spans="5:41" ht="16.5" customHeight="1" x14ac:dyDescent="0.35">
      <c r="E167" s="4"/>
      <c r="J167" s="4"/>
      <c r="O167" s="4"/>
      <c r="T167" s="4"/>
      <c r="Y167" s="4"/>
      <c r="AD167" s="4"/>
      <c r="AI167" s="4"/>
      <c r="AJ167" s="86"/>
      <c r="AN167" s="4"/>
      <c r="AO167" s="4"/>
    </row>
    <row r="168" spans="5:41" ht="16.5" customHeight="1" x14ac:dyDescent="0.35">
      <c r="E168" s="4"/>
      <c r="J168" s="4"/>
      <c r="O168" s="4"/>
      <c r="T168" s="4"/>
      <c r="Y168" s="4"/>
      <c r="AD168" s="4"/>
      <c r="AI168" s="4"/>
      <c r="AJ168" s="86"/>
      <c r="AN168" s="4"/>
      <c r="AO168" s="4"/>
    </row>
    <row r="169" spans="5:41" ht="16.5" customHeight="1" x14ac:dyDescent="0.35">
      <c r="E169" s="4"/>
      <c r="J169" s="4"/>
      <c r="O169" s="4"/>
      <c r="T169" s="4"/>
      <c r="Y169" s="4"/>
      <c r="AD169" s="4"/>
      <c r="AI169" s="4"/>
      <c r="AJ169" s="86"/>
      <c r="AN169" s="4"/>
      <c r="AO169" s="4"/>
    </row>
    <row r="170" spans="5:41" ht="16.5" customHeight="1" x14ac:dyDescent="0.35">
      <c r="E170" s="4"/>
      <c r="J170" s="4"/>
      <c r="O170" s="4"/>
      <c r="T170" s="4"/>
      <c r="Y170" s="4"/>
      <c r="AD170" s="4"/>
      <c r="AI170" s="4"/>
      <c r="AJ170" s="86"/>
      <c r="AN170" s="4"/>
      <c r="AO170" s="4"/>
    </row>
    <row r="171" spans="5:41" ht="16.5" customHeight="1" x14ac:dyDescent="0.35">
      <c r="E171" s="4"/>
      <c r="J171" s="4"/>
      <c r="O171" s="4"/>
      <c r="T171" s="4"/>
      <c r="Y171" s="4"/>
      <c r="AD171" s="4"/>
      <c r="AI171" s="4"/>
      <c r="AJ171" s="86"/>
      <c r="AN171" s="4"/>
      <c r="AO171" s="4"/>
    </row>
    <row r="172" spans="5:41" ht="16.5" customHeight="1" x14ac:dyDescent="0.35">
      <c r="E172" s="4"/>
      <c r="J172" s="4"/>
      <c r="O172" s="4"/>
      <c r="T172" s="4"/>
      <c r="Y172" s="4"/>
      <c r="AD172" s="4"/>
      <c r="AI172" s="4"/>
      <c r="AJ172" s="86"/>
      <c r="AN172" s="4"/>
      <c r="AO172" s="4"/>
    </row>
    <row r="173" spans="5:41" ht="16.5" customHeight="1" x14ac:dyDescent="0.35">
      <c r="E173" s="4"/>
      <c r="J173" s="4"/>
      <c r="O173" s="4"/>
      <c r="T173" s="4"/>
      <c r="Y173" s="4"/>
      <c r="AD173" s="4"/>
      <c r="AI173" s="4"/>
      <c r="AJ173" s="86"/>
      <c r="AN173" s="4"/>
      <c r="AO173" s="4"/>
    </row>
    <row r="174" spans="5:41" ht="16.5" customHeight="1" x14ac:dyDescent="0.35">
      <c r="E174" s="4"/>
      <c r="J174" s="4"/>
      <c r="O174" s="4"/>
      <c r="T174" s="4"/>
      <c r="Y174" s="4"/>
      <c r="AD174" s="4"/>
      <c r="AI174" s="4"/>
      <c r="AJ174" s="86"/>
      <c r="AN174" s="4"/>
      <c r="AO174" s="4"/>
    </row>
    <row r="175" spans="5:41" ht="16.5" customHeight="1" x14ac:dyDescent="0.35">
      <c r="E175" s="4"/>
      <c r="J175" s="4"/>
      <c r="O175" s="4"/>
      <c r="T175" s="4"/>
      <c r="Y175" s="4"/>
      <c r="AD175" s="4"/>
      <c r="AI175" s="4"/>
      <c r="AJ175" s="86"/>
      <c r="AN175" s="4"/>
      <c r="AO175" s="4"/>
    </row>
    <row r="176" spans="5:41" ht="16.5" customHeight="1" x14ac:dyDescent="0.35">
      <c r="E176" s="4"/>
      <c r="J176" s="4"/>
      <c r="O176" s="4"/>
      <c r="T176" s="4"/>
      <c r="Y176" s="4"/>
      <c r="AD176" s="4"/>
      <c r="AI176" s="4"/>
      <c r="AJ176" s="86"/>
      <c r="AN176" s="4"/>
      <c r="AO176" s="4"/>
    </row>
  </sheetData>
  <mergeCells count="17">
    <mergeCell ref="AA3:AC3"/>
    <mergeCell ref="AA2:AD2"/>
    <mergeCell ref="AF3:AH3"/>
    <mergeCell ref="AF2:AI2"/>
    <mergeCell ref="AK3:AM3"/>
    <mergeCell ref="AK2:AN2"/>
    <mergeCell ref="L3:N3"/>
    <mergeCell ref="L2:O2"/>
    <mergeCell ref="Q3:S3"/>
    <mergeCell ref="Q2:T2"/>
    <mergeCell ref="V3:X3"/>
    <mergeCell ref="V2:Y2"/>
    <mergeCell ref="B1:J1"/>
    <mergeCell ref="B3:D3"/>
    <mergeCell ref="B2:E2"/>
    <mergeCell ref="G3:I3"/>
    <mergeCell ref="G2:J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880E-EAA4-4192-B107-52EF0219C612}">
  <sheetPr>
    <outlinePr summaryBelow="0" summaryRight="0"/>
  </sheetPr>
  <dimension ref="B2:F17"/>
  <sheetViews>
    <sheetView workbookViewId="0"/>
  </sheetViews>
  <sheetFormatPr defaultColWidth="10" defaultRowHeight="16.5" customHeight="1" x14ac:dyDescent="0.35"/>
  <sheetData>
    <row r="2" spans="2:6" ht="16.5" customHeight="1" x14ac:dyDescent="0.35">
      <c r="B2" s="93" t="s">
        <v>25</v>
      </c>
      <c r="C2" s="93"/>
      <c r="D2" s="93"/>
      <c r="E2" s="93"/>
      <c r="F2" s="93"/>
    </row>
    <row r="3" spans="2:6" ht="16.5" customHeight="1" x14ac:dyDescent="0.35">
      <c r="B3" s="95" t="s">
        <v>9</v>
      </c>
      <c r="C3" s="96"/>
      <c r="D3" s="38"/>
      <c r="E3" s="40"/>
      <c r="F3" s="40"/>
    </row>
    <row r="4" spans="2:6" ht="16.5" customHeight="1" x14ac:dyDescent="0.35">
      <c r="B4" s="42" t="s">
        <v>10</v>
      </c>
      <c r="C4" s="42" t="s">
        <v>11</v>
      </c>
      <c r="D4" s="31" t="s">
        <v>26</v>
      </c>
      <c r="E4" s="42" t="s">
        <v>27</v>
      </c>
      <c r="F4" s="42" t="s">
        <v>13</v>
      </c>
    </row>
    <row r="5" spans="2:6" ht="16.5" customHeight="1" x14ac:dyDescent="0.35">
      <c r="B5" s="34">
        <v>32</v>
      </c>
      <c r="C5" s="44">
        <v>32</v>
      </c>
      <c r="D5" s="20">
        <f t="shared" ref="D5:D17" si="0">B5*C5*2/1024</f>
        <v>2</v>
      </c>
      <c r="E5" s="48">
        <f t="shared" ref="E5:E17" si="1">D5*32</f>
        <v>64</v>
      </c>
      <c r="F5" s="16">
        <v>178.32</v>
      </c>
    </row>
    <row r="6" spans="2:6" ht="16.5" customHeight="1" x14ac:dyDescent="0.35">
      <c r="B6" s="35">
        <v>64</v>
      </c>
      <c r="C6" s="11">
        <v>32</v>
      </c>
      <c r="D6" s="9">
        <f t="shared" si="0"/>
        <v>4</v>
      </c>
      <c r="E6" s="49">
        <f t="shared" si="1"/>
        <v>128</v>
      </c>
      <c r="F6" s="17">
        <v>267.33</v>
      </c>
    </row>
    <row r="7" spans="2:6" ht="16.5" customHeight="1" x14ac:dyDescent="0.35">
      <c r="B7" s="35">
        <v>96</v>
      </c>
      <c r="C7" s="11">
        <v>32</v>
      </c>
      <c r="D7" s="9">
        <f t="shared" si="0"/>
        <v>6</v>
      </c>
      <c r="E7" s="49">
        <f t="shared" si="1"/>
        <v>192</v>
      </c>
      <c r="F7" s="17">
        <v>270.20999999999998</v>
      </c>
    </row>
    <row r="8" spans="2:6" ht="16.5" customHeight="1" x14ac:dyDescent="0.35">
      <c r="B8" s="35">
        <v>128</v>
      </c>
      <c r="C8" s="11">
        <v>32</v>
      </c>
      <c r="D8" s="9">
        <f t="shared" si="0"/>
        <v>8</v>
      </c>
      <c r="E8" s="49">
        <f t="shared" si="1"/>
        <v>256</v>
      </c>
      <c r="F8" s="17">
        <v>269.31</v>
      </c>
    </row>
    <row r="9" spans="2:6" ht="16.5" customHeight="1" x14ac:dyDescent="0.35">
      <c r="B9" s="35">
        <v>64</v>
      </c>
      <c r="C9" s="11">
        <v>96</v>
      </c>
      <c r="D9" s="9">
        <f t="shared" si="0"/>
        <v>12</v>
      </c>
      <c r="E9" s="49">
        <f t="shared" si="1"/>
        <v>384</v>
      </c>
      <c r="F9" s="17">
        <v>268.02</v>
      </c>
    </row>
    <row r="10" spans="2:6" ht="16.5" customHeight="1" x14ac:dyDescent="0.35">
      <c r="B10" s="35">
        <v>256</v>
      </c>
      <c r="C10" s="11">
        <v>32</v>
      </c>
      <c r="D10" s="9">
        <f t="shared" si="0"/>
        <v>16</v>
      </c>
      <c r="E10" s="49">
        <f t="shared" si="1"/>
        <v>512</v>
      </c>
      <c r="F10" s="17">
        <v>268.91000000000003</v>
      </c>
    </row>
    <row r="11" spans="2:6" ht="16.5" customHeight="1" x14ac:dyDescent="0.35">
      <c r="B11" s="35">
        <v>96</v>
      </c>
      <c r="C11" s="11">
        <v>96</v>
      </c>
      <c r="D11" s="9">
        <f t="shared" si="0"/>
        <v>18</v>
      </c>
      <c r="E11" s="49">
        <f t="shared" si="1"/>
        <v>576</v>
      </c>
      <c r="F11" s="17">
        <v>268.93</v>
      </c>
    </row>
    <row r="12" spans="2:6" ht="16.5" customHeight="1" x14ac:dyDescent="0.35">
      <c r="B12" s="35">
        <v>128</v>
      </c>
      <c r="C12" s="11">
        <v>96</v>
      </c>
      <c r="D12" s="9">
        <f t="shared" si="0"/>
        <v>24</v>
      </c>
      <c r="E12" s="49">
        <f t="shared" si="1"/>
        <v>768</v>
      </c>
      <c r="F12" s="17">
        <v>268.76</v>
      </c>
    </row>
    <row r="13" spans="2:6" ht="16.5" customHeight="1" x14ac:dyDescent="0.35">
      <c r="B13" s="35">
        <v>512</v>
      </c>
      <c r="C13" s="11">
        <v>32</v>
      </c>
      <c r="D13" s="9">
        <f t="shared" si="0"/>
        <v>32</v>
      </c>
      <c r="E13" s="49">
        <f t="shared" si="1"/>
        <v>1024</v>
      </c>
      <c r="F13" s="17">
        <v>268.76</v>
      </c>
    </row>
    <row r="14" spans="2:6" ht="16.5" customHeight="1" x14ac:dyDescent="0.35">
      <c r="B14" s="35">
        <v>256</v>
      </c>
      <c r="C14" s="11">
        <v>96</v>
      </c>
      <c r="D14" s="9">
        <f t="shared" si="0"/>
        <v>48</v>
      </c>
      <c r="E14" s="49">
        <f t="shared" si="1"/>
        <v>1536</v>
      </c>
      <c r="F14" s="17">
        <v>230.89</v>
      </c>
    </row>
    <row r="15" spans="2:6" ht="16.5" customHeight="1" x14ac:dyDescent="0.35">
      <c r="B15" s="2">
        <v>1024</v>
      </c>
      <c r="C15" s="19">
        <v>32</v>
      </c>
      <c r="D15" s="9">
        <f t="shared" si="0"/>
        <v>64</v>
      </c>
      <c r="E15" s="49">
        <f t="shared" si="1"/>
        <v>2048</v>
      </c>
      <c r="F15" s="33">
        <v>248.96</v>
      </c>
    </row>
    <row r="16" spans="2:6" ht="16.5" customHeight="1" x14ac:dyDescent="0.35">
      <c r="B16" s="5">
        <v>512</v>
      </c>
      <c r="C16" s="12">
        <v>96</v>
      </c>
      <c r="D16" s="9">
        <f t="shared" si="0"/>
        <v>96</v>
      </c>
      <c r="E16" s="49">
        <f t="shared" si="1"/>
        <v>3072</v>
      </c>
      <c r="F16" s="21">
        <v>227.74</v>
      </c>
    </row>
    <row r="17" spans="2:6" ht="16.5" customHeight="1" x14ac:dyDescent="0.35">
      <c r="B17" s="65">
        <v>1024</v>
      </c>
      <c r="C17" s="66">
        <v>64</v>
      </c>
      <c r="D17" s="25">
        <f t="shared" si="0"/>
        <v>128</v>
      </c>
      <c r="E17" s="47">
        <f t="shared" si="1"/>
        <v>4096</v>
      </c>
      <c r="F17" s="69">
        <v>248.96</v>
      </c>
    </row>
  </sheetData>
  <mergeCells count="2">
    <mergeCell ref="B2:F2"/>
    <mergeCell ref="B3:C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87F9-62AA-4115-9047-87E8935CE699}">
  <dimension ref="A1:X76"/>
  <sheetViews>
    <sheetView tabSelected="1" workbookViewId="0">
      <selection activeCell="I15" sqref="I15"/>
    </sheetView>
  </sheetViews>
  <sheetFormatPr defaultRowHeight="15.5" x14ac:dyDescent="0.35"/>
  <sheetData>
    <row r="1" spans="1:24" x14ac:dyDescent="0.35">
      <c r="A1" s="97" t="s">
        <v>10</v>
      </c>
      <c r="B1" s="97" t="s">
        <v>11</v>
      </c>
      <c r="C1" s="97" t="s">
        <v>12</v>
      </c>
      <c r="D1" s="97" t="s">
        <v>13</v>
      </c>
      <c r="F1" s="97" t="s">
        <v>10</v>
      </c>
      <c r="G1" s="97" t="s">
        <v>11</v>
      </c>
      <c r="H1" s="97" t="s">
        <v>12</v>
      </c>
      <c r="I1" s="97" t="s">
        <v>13</v>
      </c>
      <c r="K1" s="97" t="s">
        <v>10</v>
      </c>
      <c r="L1" s="97" t="s">
        <v>11</v>
      </c>
      <c r="M1" s="97" t="s">
        <v>12</v>
      </c>
      <c r="N1" s="97" t="s">
        <v>13</v>
      </c>
      <c r="P1" s="97" t="s">
        <v>10</v>
      </c>
      <c r="Q1" s="97" t="s">
        <v>11</v>
      </c>
      <c r="R1" s="97" t="s">
        <v>12</v>
      </c>
      <c r="S1" s="97" t="s">
        <v>13</v>
      </c>
      <c r="U1" s="97" t="s">
        <v>10</v>
      </c>
      <c r="V1" s="97" t="s">
        <v>11</v>
      </c>
      <c r="W1" s="97" t="s">
        <v>12</v>
      </c>
      <c r="X1" s="97" t="s">
        <v>13</v>
      </c>
    </row>
    <row r="2" spans="1:24" x14ac:dyDescent="0.25">
      <c r="A2" s="98">
        <v>32</v>
      </c>
      <c r="B2" s="98">
        <v>32</v>
      </c>
      <c r="C2" s="98">
        <v>1024</v>
      </c>
      <c r="D2" s="98">
        <v>18.05</v>
      </c>
      <c r="F2" s="98">
        <v>32</v>
      </c>
      <c r="G2" s="98">
        <v>32</v>
      </c>
      <c r="H2" s="98">
        <v>2048</v>
      </c>
      <c r="I2" s="98">
        <v>14.21</v>
      </c>
      <c r="K2" s="98">
        <v>32</v>
      </c>
      <c r="L2" s="98">
        <v>32</v>
      </c>
      <c r="M2" s="98">
        <v>3072</v>
      </c>
      <c r="N2" s="98">
        <v>15.72</v>
      </c>
      <c r="P2" s="98">
        <v>32</v>
      </c>
      <c r="Q2" s="98">
        <v>32</v>
      </c>
      <c r="R2" s="98">
        <v>4096</v>
      </c>
      <c r="S2" s="98">
        <v>14.13</v>
      </c>
      <c r="U2" s="98">
        <v>32</v>
      </c>
      <c r="V2" s="98">
        <v>32</v>
      </c>
      <c r="W2" s="98">
        <v>5120</v>
      </c>
      <c r="X2" s="98">
        <v>15.42</v>
      </c>
    </row>
    <row r="3" spans="1:24" x14ac:dyDescent="0.25">
      <c r="A3" s="98">
        <v>64</v>
      </c>
      <c r="B3" s="98">
        <v>32</v>
      </c>
      <c r="C3" s="98">
        <v>1024</v>
      </c>
      <c r="D3" s="98">
        <v>15.82</v>
      </c>
      <c r="F3" s="98">
        <v>64</v>
      </c>
      <c r="G3" s="98">
        <v>32</v>
      </c>
      <c r="H3" s="98">
        <v>2048</v>
      </c>
      <c r="I3" s="98">
        <v>13.52</v>
      </c>
      <c r="K3" s="98">
        <v>64</v>
      </c>
      <c r="L3" s="98">
        <v>32</v>
      </c>
      <c r="M3" s="98">
        <v>3072</v>
      </c>
      <c r="N3" s="98">
        <v>15.69</v>
      </c>
      <c r="P3" s="98">
        <v>64</v>
      </c>
      <c r="Q3" s="98">
        <v>32</v>
      </c>
      <c r="R3" s="98">
        <v>4096</v>
      </c>
      <c r="S3" s="98">
        <v>13.92</v>
      </c>
      <c r="U3" s="98">
        <v>64</v>
      </c>
      <c r="V3" s="98">
        <v>32</v>
      </c>
      <c r="W3" s="98">
        <v>5120</v>
      </c>
      <c r="X3" s="98">
        <v>15.52</v>
      </c>
    </row>
    <row r="4" spans="1:24" x14ac:dyDescent="0.25">
      <c r="A4" s="98">
        <v>96</v>
      </c>
      <c r="B4" s="98">
        <v>32</v>
      </c>
      <c r="C4" s="98">
        <v>1024</v>
      </c>
      <c r="D4" s="98">
        <v>14.86</v>
      </c>
      <c r="F4" s="98">
        <v>96</v>
      </c>
      <c r="G4" s="98">
        <v>32</v>
      </c>
      <c r="H4" s="98">
        <v>2048</v>
      </c>
      <c r="I4" s="98">
        <v>13.64</v>
      </c>
      <c r="K4" s="98">
        <v>96</v>
      </c>
      <c r="L4" s="98">
        <v>32</v>
      </c>
      <c r="M4" s="98">
        <v>3072</v>
      </c>
      <c r="N4" s="98">
        <v>15.48</v>
      </c>
      <c r="P4" s="98">
        <v>96</v>
      </c>
      <c r="Q4" s="98">
        <v>32</v>
      </c>
      <c r="R4" s="98">
        <v>4096</v>
      </c>
      <c r="S4" s="98">
        <v>14.17</v>
      </c>
      <c r="U4" s="98">
        <v>96</v>
      </c>
      <c r="V4" s="98">
        <v>32</v>
      </c>
      <c r="W4" s="98">
        <v>5120</v>
      </c>
      <c r="X4" s="98">
        <v>15.3</v>
      </c>
    </row>
    <row r="5" spans="1:24" x14ac:dyDescent="0.25">
      <c r="A5" s="98">
        <v>128</v>
      </c>
      <c r="B5" s="98">
        <v>32</v>
      </c>
      <c r="C5" s="98">
        <v>1024</v>
      </c>
      <c r="D5" s="98">
        <v>14.81</v>
      </c>
      <c r="F5" s="98">
        <v>128</v>
      </c>
      <c r="G5" s="98">
        <v>32</v>
      </c>
      <c r="H5" s="98">
        <v>2048</v>
      </c>
      <c r="I5" s="98">
        <v>13.46</v>
      </c>
      <c r="K5" s="98">
        <v>128</v>
      </c>
      <c r="L5" s="98">
        <v>32</v>
      </c>
      <c r="M5" s="98">
        <v>3072</v>
      </c>
      <c r="N5" s="98">
        <v>15.5</v>
      </c>
      <c r="P5" s="98">
        <v>128</v>
      </c>
      <c r="Q5" s="98">
        <v>32</v>
      </c>
      <c r="R5" s="98">
        <v>4096</v>
      </c>
      <c r="S5" s="98">
        <v>14.16</v>
      </c>
      <c r="U5" s="98">
        <v>128</v>
      </c>
      <c r="V5" s="98">
        <v>32</v>
      </c>
      <c r="W5" s="98">
        <v>5120</v>
      </c>
      <c r="X5" s="98">
        <v>15.52</v>
      </c>
    </row>
    <row r="6" spans="1:24" x14ac:dyDescent="0.25">
      <c r="A6" s="98">
        <v>256</v>
      </c>
      <c r="B6" s="98">
        <v>32</v>
      </c>
      <c r="C6" s="98">
        <v>1024</v>
      </c>
      <c r="D6" s="98">
        <v>14.18</v>
      </c>
      <c r="F6" s="98">
        <v>256</v>
      </c>
      <c r="G6" s="98">
        <v>32</v>
      </c>
      <c r="H6" s="98">
        <v>2048</v>
      </c>
      <c r="I6" s="98">
        <v>12.63</v>
      </c>
      <c r="K6" s="98">
        <v>256</v>
      </c>
      <c r="L6" s="98">
        <v>32</v>
      </c>
      <c r="M6" s="98">
        <v>3072</v>
      </c>
      <c r="N6" s="98">
        <v>15.34</v>
      </c>
      <c r="P6" s="98">
        <v>256</v>
      </c>
      <c r="Q6" s="98">
        <v>32</v>
      </c>
      <c r="R6" s="98">
        <v>4096</v>
      </c>
      <c r="S6" s="98">
        <v>13.41</v>
      </c>
      <c r="U6" s="98">
        <v>256</v>
      </c>
      <c r="V6" s="98">
        <v>32</v>
      </c>
      <c r="W6" s="98">
        <v>5120</v>
      </c>
      <c r="X6" s="98">
        <v>14.95</v>
      </c>
    </row>
    <row r="7" spans="1:24" x14ac:dyDescent="0.25">
      <c r="A7" s="98">
        <v>512</v>
      </c>
      <c r="B7" s="98">
        <v>32</v>
      </c>
      <c r="C7" s="98">
        <v>1024</v>
      </c>
      <c r="D7" s="98">
        <v>12.7</v>
      </c>
      <c r="F7" s="98">
        <v>512</v>
      </c>
      <c r="G7" s="98">
        <v>32</v>
      </c>
      <c r="H7" s="98">
        <v>2048</v>
      </c>
      <c r="I7" s="98">
        <v>12</v>
      </c>
      <c r="K7" s="98">
        <v>512</v>
      </c>
      <c r="L7" s="98">
        <v>32</v>
      </c>
      <c r="M7" s="98">
        <v>3072</v>
      </c>
      <c r="N7" s="98">
        <v>14.56</v>
      </c>
      <c r="P7" s="98">
        <v>512</v>
      </c>
      <c r="Q7" s="98">
        <v>32</v>
      </c>
      <c r="R7" s="98">
        <v>4096</v>
      </c>
      <c r="S7" s="98">
        <v>12.67</v>
      </c>
      <c r="U7" s="98">
        <v>512</v>
      </c>
      <c r="V7" s="98">
        <v>32</v>
      </c>
      <c r="W7" s="98">
        <v>5120</v>
      </c>
      <c r="X7" s="98">
        <v>13.66</v>
      </c>
    </row>
    <row r="8" spans="1:24" x14ac:dyDescent="0.25">
      <c r="A8" s="98">
        <v>1024</v>
      </c>
      <c r="B8" s="98">
        <v>32</v>
      </c>
      <c r="C8" s="98">
        <v>1024</v>
      </c>
      <c r="D8" s="98">
        <v>12.44</v>
      </c>
      <c r="F8" s="98">
        <v>1024</v>
      </c>
      <c r="G8" s="98">
        <v>32</v>
      </c>
      <c r="H8" s="98">
        <v>2048</v>
      </c>
      <c r="I8" s="98">
        <v>11.17</v>
      </c>
      <c r="K8" s="98">
        <v>1024</v>
      </c>
      <c r="L8" s="98">
        <v>32</v>
      </c>
      <c r="M8" s="98">
        <v>3072</v>
      </c>
      <c r="N8" s="98">
        <v>13.29</v>
      </c>
      <c r="P8" s="98">
        <v>32</v>
      </c>
      <c r="Q8" s="98">
        <v>64</v>
      </c>
      <c r="R8" s="98">
        <v>4096</v>
      </c>
      <c r="S8" s="98">
        <v>60.68</v>
      </c>
      <c r="U8" s="98">
        <v>32</v>
      </c>
      <c r="V8" s="98">
        <v>64</v>
      </c>
      <c r="W8" s="98">
        <v>5120</v>
      </c>
      <c r="X8" s="98">
        <v>63.4</v>
      </c>
    </row>
    <row r="9" spans="1:24" x14ac:dyDescent="0.25">
      <c r="A9" s="98">
        <v>32</v>
      </c>
      <c r="B9" s="98">
        <v>64</v>
      </c>
      <c r="C9" s="98">
        <v>1024</v>
      </c>
      <c r="D9" s="98">
        <v>74.02</v>
      </c>
      <c r="F9" s="98">
        <v>32</v>
      </c>
      <c r="G9" s="98">
        <v>64</v>
      </c>
      <c r="H9" s="98">
        <v>2048</v>
      </c>
      <c r="I9" s="98">
        <v>56.45</v>
      </c>
      <c r="K9" s="98">
        <v>32</v>
      </c>
      <c r="L9" s="98">
        <v>64</v>
      </c>
      <c r="M9" s="98">
        <v>3072</v>
      </c>
      <c r="N9" s="98">
        <v>67.989999999999995</v>
      </c>
      <c r="P9" s="98">
        <v>64</v>
      </c>
      <c r="Q9" s="98">
        <v>64</v>
      </c>
      <c r="R9" s="98">
        <v>4096</v>
      </c>
      <c r="S9" s="98">
        <v>57.74</v>
      </c>
      <c r="U9" s="98">
        <v>64</v>
      </c>
      <c r="V9" s="98">
        <v>64</v>
      </c>
      <c r="W9" s="98">
        <v>5120</v>
      </c>
      <c r="X9" s="98">
        <v>61.45</v>
      </c>
    </row>
    <row r="10" spans="1:24" x14ac:dyDescent="0.25">
      <c r="A10" s="98">
        <v>64</v>
      </c>
      <c r="B10" s="98">
        <v>64</v>
      </c>
      <c r="C10" s="98">
        <v>1024</v>
      </c>
      <c r="D10" s="98">
        <v>66.95</v>
      </c>
      <c r="F10" s="98">
        <v>64</v>
      </c>
      <c r="G10" s="98">
        <v>64</v>
      </c>
      <c r="H10" s="98">
        <v>2048</v>
      </c>
      <c r="I10" s="98">
        <v>57.57</v>
      </c>
      <c r="K10" s="98">
        <v>64</v>
      </c>
      <c r="L10" s="98">
        <v>64</v>
      </c>
      <c r="M10" s="98">
        <v>3072</v>
      </c>
      <c r="N10" s="98">
        <v>65.06</v>
      </c>
      <c r="P10" s="98">
        <v>96</v>
      </c>
      <c r="Q10" s="98">
        <v>64</v>
      </c>
      <c r="R10" s="98">
        <v>4096</v>
      </c>
      <c r="S10" s="98">
        <v>56.85</v>
      </c>
      <c r="U10" s="98">
        <v>96</v>
      </c>
      <c r="V10" s="98">
        <v>64</v>
      </c>
      <c r="W10" s="98">
        <v>5120</v>
      </c>
      <c r="X10" s="98">
        <v>60.67</v>
      </c>
    </row>
    <row r="11" spans="1:24" x14ac:dyDescent="0.25">
      <c r="A11" s="98">
        <v>96</v>
      </c>
      <c r="B11" s="98">
        <v>64</v>
      </c>
      <c r="C11" s="98">
        <v>1024</v>
      </c>
      <c r="D11" s="98">
        <v>63.25</v>
      </c>
      <c r="F11" s="98">
        <v>96</v>
      </c>
      <c r="G11" s="98">
        <v>64</v>
      </c>
      <c r="H11" s="98">
        <v>2048</v>
      </c>
      <c r="I11" s="98">
        <v>54.21</v>
      </c>
      <c r="K11" s="98">
        <v>96</v>
      </c>
      <c r="L11" s="98">
        <v>64</v>
      </c>
      <c r="M11" s="98">
        <v>3072</v>
      </c>
      <c r="N11" s="98">
        <v>63.86</v>
      </c>
      <c r="P11" s="98">
        <v>128</v>
      </c>
      <c r="Q11" s="98">
        <v>64</v>
      </c>
      <c r="R11" s="98">
        <v>4096</v>
      </c>
      <c r="S11" s="98">
        <v>56.34</v>
      </c>
      <c r="U11" s="98">
        <v>128</v>
      </c>
      <c r="V11" s="98">
        <v>64</v>
      </c>
      <c r="W11" s="98">
        <v>5120</v>
      </c>
      <c r="X11" s="98">
        <v>59.41</v>
      </c>
    </row>
    <row r="12" spans="1:24" x14ac:dyDescent="0.25">
      <c r="A12" s="98">
        <v>128</v>
      </c>
      <c r="B12" s="98">
        <v>64</v>
      </c>
      <c r="C12" s="98">
        <v>1024</v>
      </c>
      <c r="D12" s="98">
        <v>63.94</v>
      </c>
      <c r="F12" s="98">
        <v>128</v>
      </c>
      <c r="G12" s="98">
        <v>64</v>
      </c>
      <c r="H12" s="98">
        <v>2048</v>
      </c>
      <c r="I12" s="98">
        <v>54.05</v>
      </c>
      <c r="K12" s="98">
        <v>128</v>
      </c>
      <c r="L12" s="98">
        <v>64</v>
      </c>
      <c r="M12" s="98">
        <v>3072</v>
      </c>
      <c r="N12" s="98">
        <v>62.59</v>
      </c>
      <c r="P12" s="98">
        <v>256</v>
      </c>
      <c r="Q12" s="98">
        <v>64</v>
      </c>
      <c r="R12" s="98">
        <v>4096</v>
      </c>
      <c r="S12" s="98">
        <v>49.36</v>
      </c>
      <c r="U12" s="98">
        <v>256</v>
      </c>
      <c r="V12" s="98">
        <v>64</v>
      </c>
      <c r="W12" s="98">
        <v>5120</v>
      </c>
      <c r="X12" s="98">
        <v>52.29</v>
      </c>
    </row>
    <row r="13" spans="1:24" x14ac:dyDescent="0.25">
      <c r="A13" s="98">
        <v>256</v>
      </c>
      <c r="B13" s="98">
        <v>64</v>
      </c>
      <c r="C13" s="98">
        <v>1024</v>
      </c>
      <c r="D13" s="98">
        <v>55.06</v>
      </c>
      <c r="F13" s="98">
        <v>256</v>
      </c>
      <c r="G13" s="98">
        <v>64</v>
      </c>
      <c r="H13" s="98">
        <v>2048</v>
      </c>
      <c r="I13" s="98">
        <v>46.44</v>
      </c>
      <c r="K13" s="98">
        <v>256</v>
      </c>
      <c r="L13" s="98">
        <v>64</v>
      </c>
      <c r="M13" s="98">
        <v>3072</v>
      </c>
      <c r="N13" s="98">
        <v>54.91</v>
      </c>
      <c r="P13" s="98">
        <v>512</v>
      </c>
      <c r="Q13" s="98">
        <v>64</v>
      </c>
      <c r="R13" s="98">
        <v>4096</v>
      </c>
      <c r="S13" s="98">
        <v>43.52</v>
      </c>
      <c r="U13" s="98">
        <v>512</v>
      </c>
      <c r="V13" s="98">
        <v>64</v>
      </c>
      <c r="W13" s="98">
        <v>5120</v>
      </c>
      <c r="X13" s="98">
        <v>47.37</v>
      </c>
    </row>
    <row r="14" spans="1:24" x14ac:dyDescent="0.25">
      <c r="A14" s="98">
        <v>512</v>
      </c>
      <c r="B14" s="98">
        <v>64</v>
      </c>
      <c r="C14" s="98">
        <v>1024</v>
      </c>
      <c r="D14" s="98">
        <v>49.43</v>
      </c>
      <c r="F14" s="98">
        <v>512</v>
      </c>
      <c r="G14" s="98">
        <v>64</v>
      </c>
      <c r="H14" s="98">
        <v>2048</v>
      </c>
      <c r="I14" s="98">
        <v>41.97</v>
      </c>
      <c r="K14" s="98">
        <v>512</v>
      </c>
      <c r="L14" s="98">
        <v>64</v>
      </c>
      <c r="M14" s="98">
        <v>3072</v>
      </c>
      <c r="N14" s="98">
        <v>48.79</v>
      </c>
      <c r="P14" s="98">
        <v>32</v>
      </c>
      <c r="Q14" s="98">
        <v>96</v>
      </c>
      <c r="R14" s="98">
        <v>4096</v>
      </c>
      <c r="S14" s="98">
        <v>42.75</v>
      </c>
      <c r="U14" s="98">
        <v>32</v>
      </c>
      <c r="V14" s="98">
        <v>96</v>
      </c>
      <c r="W14" s="98">
        <v>5120</v>
      </c>
      <c r="X14" s="98">
        <v>46.24</v>
      </c>
    </row>
    <row r="15" spans="1:24" x14ac:dyDescent="0.25">
      <c r="A15" s="98">
        <v>1024</v>
      </c>
      <c r="B15" s="98">
        <v>64</v>
      </c>
      <c r="C15" s="98">
        <v>1024</v>
      </c>
      <c r="D15" s="98">
        <v>45.68</v>
      </c>
      <c r="F15" s="98">
        <v>1024</v>
      </c>
      <c r="G15" s="98">
        <v>64</v>
      </c>
      <c r="H15" s="98">
        <v>2048</v>
      </c>
      <c r="I15" s="98">
        <v>39.08</v>
      </c>
      <c r="K15" s="98">
        <v>1024</v>
      </c>
      <c r="L15" s="98">
        <v>64</v>
      </c>
      <c r="M15" s="98">
        <v>3072</v>
      </c>
      <c r="N15" s="98">
        <v>44.91</v>
      </c>
      <c r="P15" s="98">
        <v>64</v>
      </c>
      <c r="Q15" s="98">
        <v>96</v>
      </c>
      <c r="R15" s="98">
        <v>4096</v>
      </c>
      <c r="S15" s="98">
        <v>41.59</v>
      </c>
      <c r="U15" s="98">
        <v>64</v>
      </c>
      <c r="V15" s="98">
        <v>96</v>
      </c>
      <c r="W15" s="98">
        <v>5120</v>
      </c>
      <c r="X15" s="98">
        <v>45.91</v>
      </c>
    </row>
    <row r="16" spans="1:24" x14ac:dyDescent="0.25">
      <c r="A16" s="98">
        <v>32</v>
      </c>
      <c r="B16" s="98">
        <v>96</v>
      </c>
      <c r="C16" s="98">
        <v>1024</v>
      </c>
      <c r="D16" s="98">
        <v>55.73</v>
      </c>
      <c r="F16" s="98">
        <v>32</v>
      </c>
      <c r="G16" s="98">
        <v>96</v>
      </c>
      <c r="H16" s="98">
        <v>2048</v>
      </c>
      <c r="I16" s="98">
        <v>44.07</v>
      </c>
      <c r="K16" s="98">
        <v>32</v>
      </c>
      <c r="L16" s="98">
        <v>96</v>
      </c>
      <c r="M16" s="98">
        <v>3072</v>
      </c>
      <c r="N16" s="98">
        <v>46.6</v>
      </c>
      <c r="P16" s="98">
        <v>96</v>
      </c>
      <c r="Q16" s="98">
        <v>96</v>
      </c>
      <c r="R16" s="98">
        <v>4096</v>
      </c>
      <c r="S16" s="98">
        <v>40.75</v>
      </c>
      <c r="U16" s="98">
        <v>96</v>
      </c>
      <c r="V16" s="98">
        <v>96</v>
      </c>
      <c r="W16" s="98">
        <v>5120</v>
      </c>
      <c r="X16" s="98">
        <v>45.75</v>
      </c>
    </row>
    <row r="17" spans="1:24" x14ac:dyDescent="0.25">
      <c r="A17" s="98">
        <v>64</v>
      </c>
      <c r="B17" s="98">
        <v>96</v>
      </c>
      <c r="C17" s="98">
        <v>1024</v>
      </c>
      <c r="D17" s="98">
        <v>46.32</v>
      </c>
      <c r="F17" s="98">
        <v>64</v>
      </c>
      <c r="G17" s="98">
        <v>96</v>
      </c>
      <c r="H17" s="98">
        <v>2048</v>
      </c>
      <c r="I17" s="98">
        <v>39.409999999999997</v>
      </c>
      <c r="K17" s="98">
        <v>64</v>
      </c>
      <c r="L17" s="98">
        <v>96</v>
      </c>
      <c r="M17" s="98">
        <v>3072</v>
      </c>
      <c r="N17" s="98">
        <v>45.7</v>
      </c>
      <c r="P17" s="98">
        <v>128</v>
      </c>
      <c r="Q17" s="98">
        <v>96</v>
      </c>
      <c r="R17" s="98">
        <v>4096</v>
      </c>
      <c r="S17" s="98">
        <v>41.13</v>
      </c>
      <c r="U17" s="98">
        <v>128</v>
      </c>
      <c r="V17" s="98">
        <v>96</v>
      </c>
      <c r="W17" s="98">
        <v>5120</v>
      </c>
      <c r="X17" s="98">
        <v>45.81</v>
      </c>
    </row>
    <row r="18" spans="1:24" x14ac:dyDescent="0.25">
      <c r="A18" s="98">
        <v>96</v>
      </c>
      <c r="B18" s="98">
        <v>96</v>
      </c>
      <c r="C18" s="98">
        <v>1024</v>
      </c>
      <c r="D18" s="98">
        <v>43.39</v>
      </c>
      <c r="F18" s="98">
        <v>96</v>
      </c>
      <c r="G18" s="98">
        <v>96</v>
      </c>
      <c r="H18" s="98">
        <v>2048</v>
      </c>
      <c r="I18" s="98">
        <v>38.26</v>
      </c>
      <c r="K18" s="98">
        <v>96</v>
      </c>
      <c r="L18" s="98">
        <v>96</v>
      </c>
      <c r="M18" s="98">
        <v>3072</v>
      </c>
      <c r="N18" s="98">
        <v>45.79</v>
      </c>
      <c r="P18" s="98">
        <v>256</v>
      </c>
      <c r="Q18" s="98">
        <v>96</v>
      </c>
      <c r="R18" s="98">
        <v>4096</v>
      </c>
      <c r="S18" s="98">
        <v>41.16</v>
      </c>
      <c r="U18" s="98">
        <v>256</v>
      </c>
      <c r="V18" s="98">
        <v>96</v>
      </c>
      <c r="W18" s="98">
        <v>5120</v>
      </c>
      <c r="X18" s="98">
        <v>45.92</v>
      </c>
    </row>
    <row r="19" spans="1:24" x14ac:dyDescent="0.25">
      <c r="A19" s="98">
        <v>128</v>
      </c>
      <c r="B19" s="98">
        <v>96</v>
      </c>
      <c r="C19" s="98">
        <v>1024</v>
      </c>
      <c r="D19" s="98">
        <v>44.04</v>
      </c>
      <c r="F19" s="98">
        <v>128</v>
      </c>
      <c r="G19" s="98">
        <v>96</v>
      </c>
      <c r="H19" s="98">
        <v>2048</v>
      </c>
      <c r="I19" s="98">
        <v>40.409999999999997</v>
      </c>
      <c r="K19" s="98">
        <v>128</v>
      </c>
      <c r="L19" s="98">
        <v>96</v>
      </c>
      <c r="M19" s="98">
        <v>3072</v>
      </c>
      <c r="N19" s="98">
        <v>45.63</v>
      </c>
      <c r="P19" s="98">
        <v>512</v>
      </c>
      <c r="Q19" s="98">
        <v>96</v>
      </c>
      <c r="R19" s="98">
        <v>4096</v>
      </c>
      <c r="S19" s="98">
        <v>38.06</v>
      </c>
      <c r="U19" s="98">
        <v>512</v>
      </c>
      <c r="V19" s="98">
        <v>96</v>
      </c>
      <c r="W19" s="98">
        <v>5120</v>
      </c>
      <c r="X19" s="98">
        <v>44.86</v>
      </c>
    </row>
    <row r="20" spans="1:24" x14ac:dyDescent="0.25">
      <c r="A20" s="98">
        <v>256</v>
      </c>
      <c r="B20" s="98">
        <v>96</v>
      </c>
      <c r="C20" s="98">
        <v>1024</v>
      </c>
      <c r="D20" s="98">
        <v>42.99</v>
      </c>
      <c r="F20" s="98">
        <v>256</v>
      </c>
      <c r="G20" s="98">
        <v>96</v>
      </c>
      <c r="H20" s="98">
        <v>2048</v>
      </c>
      <c r="I20" s="98">
        <v>39.06</v>
      </c>
      <c r="K20" s="98">
        <v>256</v>
      </c>
      <c r="L20" s="98">
        <v>96</v>
      </c>
      <c r="M20" s="98">
        <v>3072</v>
      </c>
      <c r="N20" s="98">
        <v>45.8</v>
      </c>
      <c r="P20" s="98">
        <v>32</v>
      </c>
      <c r="Q20" s="98">
        <v>128</v>
      </c>
      <c r="R20" s="98">
        <v>4096</v>
      </c>
      <c r="S20" s="98">
        <v>118.26</v>
      </c>
      <c r="U20" s="98">
        <v>32</v>
      </c>
      <c r="V20" s="98">
        <v>128</v>
      </c>
      <c r="W20" s="98">
        <v>5120</v>
      </c>
      <c r="X20" s="98">
        <v>122.36</v>
      </c>
    </row>
    <row r="21" spans="1:24" x14ac:dyDescent="0.25">
      <c r="A21" s="98">
        <v>512</v>
      </c>
      <c r="B21" s="98">
        <v>96</v>
      </c>
      <c r="C21" s="98">
        <v>1024</v>
      </c>
      <c r="D21" s="98">
        <v>42.9</v>
      </c>
      <c r="F21" s="98">
        <v>512</v>
      </c>
      <c r="G21" s="98">
        <v>96</v>
      </c>
      <c r="H21" s="98">
        <v>2048</v>
      </c>
      <c r="I21" s="98">
        <v>38.340000000000003</v>
      </c>
      <c r="K21" s="98">
        <v>512</v>
      </c>
      <c r="L21" s="98">
        <v>96</v>
      </c>
      <c r="M21" s="98">
        <v>3072</v>
      </c>
      <c r="N21" s="98">
        <v>45.42</v>
      </c>
      <c r="P21" s="98">
        <v>64</v>
      </c>
      <c r="Q21" s="98">
        <v>128</v>
      </c>
      <c r="R21" s="98">
        <v>4096</v>
      </c>
      <c r="S21" s="98">
        <v>114.27</v>
      </c>
      <c r="U21" s="98">
        <v>64</v>
      </c>
      <c r="V21" s="98">
        <v>128</v>
      </c>
      <c r="W21" s="98">
        <v>5120</v>
      </c>
      <c r="X21" s="98">
        <v>119.18</v>
      </c>
    </row>
    <row r="22" spans="1:24" x14ac:dyDescent="0.25">
      <c r="A22" s="98">
        <v>1024</v>
      </c>
      <c r="B22" s="98">
        <v>96</v>
      </c>
      <c r="C22" s="98">
        <v>1024</v>
      </c>
      <c r="D22" s="98">
        <v>40.869999999999997</v>
      </c>
      <c r="F22" s="98">
        <v>1024</v>
      </c>
      <c r="G22" s="98">
        <v>96</v>
      </c>
      <c r="H22" s="98">
        <v>2048</v>
      </c>
      <c r="I22" s="98">
        <v>36.979999999999997</v>
      </c>
      <c r="K22" s="98">
        <v>1024</v>
      </c>
      <c r="L22" s="98">
        <v>96</v>
      </c>
      <c r="M22" s="98">
        <v>3072</v>
      </c>
      <c r="N22" s="98">
        <v>44.96</v>
      </c>
      <c r="P22" s="98">
        <v>96</v>
      </c>
      <c r="Q22" s="98">
        <v>128</v>
      </c>
      <c r="R22" s="98">
        <v>4096</v>
      </c>
      <c r="S22" s="98">
        <v>110.02</v>
      </c>
      <c r="U22" s="98">
        <v>96</v>
      </c>
      <c r="V22" s="98">
        <v>128</v>
      </c>
      <c r="W22" s="98">
        <v>5120</v>
      </c>
      <c r="X22" s="98">
        <v>116.04</v>
      </c>
    </row>
    <row r="23" spans="1:24" x14ac:dyDescent="0.25">
      <c r="A23" s="98">
        <v>32</v>
      </c>
      <c r="B23" s="98">
        <v>128</v>
      </c>
      <c r="C23" s="98">
        <v>1024</v>
      </c>
      <c r="D23" s="98">
        <v>141.49</v>
      </c>
      <c r="F23" s="98">
        <v>32</v>
      </c>
      <c r="G23" s="98">
        <v>128</v>
      </c>
      <c r="H23" s="98">
        <v>2048</v>
      </c>
      <c r="I23" s="98">
        <v>108.36</v>
      </c>
      <c r="K23" s="98">
        <v>32</v>
      </c>
      <c r="L23" s="98">
        <v>128</v>
      </c>
      <c r="M23" s="98">
        <v>3072</v>
      </c>
      <c r="N23" s="98">
        <v>130.09</v>
      </c>
      <c r="P23" s="98">
        <v>128</v>
      </c>
      <c r="Q23" s="98">
        <v>128</v>
      </c>
      <c r="R23" s="98">
        <v>4096</v>
      </c>
      <c r="S23" s="98">
        <v>106.42</v>
      </c>
      <c r="U23" s="98">
        <v>128</v>
      </c>
      <c r="V23" s="98">
        <v>128</v>
      </c>
      <c r="W23" s="98">
        <v>5120</v>
      </c>
      <c r="X23" s="98">
        <v>114</v>
      </c>
    </row>
    <row r="24" spans="1:24" x14ac:dyDescent="0.25">
      <c r="A24" s="98">
        <v>64</v>
      </c>
      <c r="B24" s="98">
        <v>128</v>
      </c>
      <c r="C24" s="98">
        <v>1024</v>
      </c>
      <c r="D24" s="98">
        <v>130.04</v>
      </c>
      <c r="F24" s="98">
        <v>64</v>
      </c>
      <c r="G24" s="98">
        <v>128</v>
      </c>
      <c r="H24" s="98">
        <v>2048</v>
      </c>
      <c r="I24" s="98">
        <v>110.34</v>
      </c>
      <c r="K24" s="98">
        <v>64</v>
      </c>
      <c r="L24" s="98">
        <v>128</v>
      </c>
      <c r="M24" s="98">
        <v>3072</v>
      </c>
      <c r="N24" s="98">
        <v>126.65</v>
      </c>
      <c r="P24" s="98">
        <v>256</v>
      </c>
      <c r="Q24" s="98">
        <v>128</v>
      </c>
      <c r="R24" s="98">
        <v>4096</v>
      </c>
      <c r="S24" s="98">
        <v>96.26</v>
      </c>
      <c r="U24" s="98">
        <v>256</v>
      </c>
      <c r="V24" s="98">
        <v>128</v>
      </c>
      <c r="W24" s="98">
        <v>5120</v>
      </c>
      <c r="X24" s="98">
        <v>102.76</v>
      </c>
    </row>
    <row r="25" spans="1:24" x14ac:dyDescent="0.25">
      <c r="A25" s="98">
        <v>96</v>
      </c>
      <c r="B25" s="98">
        <v>128</v>
      </c>
      <c r="C25" s="98">
        <v>1024</v>
      </c>
      <c r="D25" s="98">
        <v>122.44</v>
      </c>
      <c r="F25" s="98">
        <v>96</v>
      </c>
      <c r="G25" s="98">
        <v>128</v>
      </c>
      <c r="H25" s="98">
        <v>2048</v>
      </c>
      <c r="I25" s="98">
        <v>103.22</v>
      </c>
      <c r="K25" s="98">
        <v>96</v>
      </c>
      <c r="L25" s="98">
        <v>128</v>
      </c>
      <c r="M25" s="98">
        <v>3072</v>
      </c>
      <c r="N25" s="98">
        <v>121.71</v>
      </c>
      <c r="P25" s="98">
        <v>512</v>
      </c>
      <c r="Q25" s="98">
        <v>128</v>
      </c>
      <c r="R25" s="98">
        <v>4096</v>
      </c>
      <c r="S25" s="98">
        <v>91.46</v>
      </c>
      <c r="U25" s="98">
        <v>512</v>
      </c>
      <c r="V25" s="98">
        <v>128</v>
      </c>
      <c r="W25" s="98">
        <v>5120</v>
      </c>
      <c r="X25" s="98">
        <v>93.25</v>
      </c>
    </row>
    <row r="26" spans="1:24" x14ac:dyDescent="0.25">
      <c r="A26" s="98">
        <v>128</v>
      </c>
      <c r="B26" s="98">
        <v>128</v>
      </c>
      <c r="C26" s="98">
        <v>1024</v>
      </c>
      <c r="D26" s="98">
        <v>116.19</v>
      </c>
      <c r="F26" s="98">
        <v>128</v>
      </c>
      <c r="G26" s="98">
        <v>128</v>
      </c>
      <c r="H26" s="98">
        <v>2048</v>
      </c>
      <c r="I26" s="98">
        <v>101.56</v>
      </c>
      <c r="K26" s="98">
        <v>128</v>
      </c>
      <c r="L26" s="98">
        <v>128</v>
      </c>
      <c r="M26" s="98">
        <v>3072</v>
      </c>
      <c r="N26" s="98">
        <v>117.14</v>
      </c>
      <c r="P26" s="98">
        <v>32</v>
      </c>
      <c r="Q26" s="98">
        <v>160</v>
      </c>
      <c r="R26" s="98">
        <v>4096</v>
      </c>
      <c r="S26" s="98">
        <v>71.59</v>
      </c>
      <c r="U26" s="98">
        <v>32</v>
      </c>
      <c r="V26" s="98">
        <v>160</v>
      </c>
      <c r="W26" s="98">
        <v>5120</v>
      </c>
      <c r="X26" s="98">
        <v>78.040000000000006</v>
      </c>
    </row>
    <row r="27" spans="1:24" x14ac:dyDescent="0.25">
      <c r="A27" s="98">
        <v>256</v>
      </c>
      <c r="B27" s="98">
        <v>128</v>
      </c>
      <c r="C27" s="98">
        <v>1024</v>
      </c>
      <c r="D27" s="98">
        <v>106</v>
      </c>
      <c r="F27" s="98">
        <v>256</v>
      </c>
      <c r="G27" s="98">
        <v>128</v>
      </c>
      <c r="H27" s="98">
        <v>2048</v>
      </c>
      <c r="I27" s="98">
        <v>90.67</v>
      </c>
      <c r="K27" s="98">
        <v>256</v>
      </c>
      <c r="L27" s="98">
        <v>128</v>
      </c>
      <c r="M27" s="98">
        <v>3072</v>
      </c>
      <c r="N27" s="98">
        <v>106.71</v>
      </c>
      <c r="P27" s="98">
        <v>64</v>
      </c>
      <c r="Q27" s="98">
        <v>160</v>
      </c>
      <c r="R27" s="98">
        <v>4096</v>
      </c>
      <c r="S27" s="98">
        <v>68.819999999999993</v>
      </c>
      <c r="U27" s="98">
        <v>64</v>
      </c>
      <c r="V27" s="98">
        <v>160</v>
      </c>
      <c r="W27" s="98">
        <v>5120</v>
      </c>
      <c r="X27" s="98">
        <v>76.98</v>
      </c>
    </row>
    <row r="28" spans="1:24" x14ac:dyDescent="0.25">
      <c r="A28" s="98">
        <v>512</v>
      </c>
      <c r="B28" s="98">
        <v>128</v>
      </c>
      <c r="C28" s="98">
        <v>1024</v>
      </c>
      <c r="D28" s="98">
        <v>101.03</v>
      </c>
      <c r="F28" s="98">
        <v>512</v>
      </c>
      <c r="G28" s="98">
        <v>128</v>
      </c>
      <c r="H28" s="98">
        <v>2048</v>
      </c>
      <c r="I28" s="98">
        <v>85.46</v>
      </c>
      <c r="K28" s="98">
        <v>512</v>
      </c>
      <c r="L28" s="98">
        <v>128</v>
      </c>
      <c r="M28" s="98">
        <v>3072</v>
      </c>
      <c r="N28" s="98">
        <v>102.19</v>
      </c>
      <c r="P28" s="98">
        <v>96</v>
      </c>
      <c r="Q28" s="98">
        <v>160</v>
      </c>
      <c r="R28" s="98">
        <v>4096</v>
      </c>
      <c r="S28" s="98">
        <v>69.25</v>
      </c>
      <c r="U28" s="98">
        <v>96</v>
      </c>
      <c r="V28" s="98">
        <v>160</v>
      </c>
      <c r="W28" s="98">
        <v>5120</v>
      </c>
      <c r="X28" s="98">
        <v>76.86</v>
      </c>
    </row>
    <row r="29" spans="1:24" x14ac:dyDescent="0.25">
      <c r="A29" s="98">
        <v>32</v>
      </c>
      <c r="B29" s="98">
        <v>160</v>
      </c>
      <c r="C29" s="98">
        <v>1024</v>
      </c>
      <c r="D29" s="98">
        <v>91.47</v>
      </c>
      <c r="F29" s="98">
        <v>32</v>
      </c>
      <c r="G29" s="98">
        <v>160</v>
      </c>
      <c r="H29" s="98">
        <v>2048</v>
      </c>
      <c r="I29" s="98">
        <v>70.569999999999993</v>
      </c>
      <c r="K29" s="98">
        <v>32</v>
      </c>
      <c r="L29" s="98">
        <v>160</v>
      </c>
      <c r="M29" s="98">
        <v>3072</v>
      </c>
      <c r="N29" s="98">
        <v>79.47</v>
      </c>
      <c r="P29" s="98">
        <v>128</v>
      </c>
      <c r="Q29" s="98">
        <v>160</v>
      </c>
      <c r="R29" s="98">
        <v>4096</v>
      </c>
      <c r="S29" s="98">
        <v>69.209999999999994</v>
      </c>
      <c r="U29" s="98">
        <v>128</v>
      </c>
      <c r="V29" s="98">
        <v>160</v>
      </c>
      <c r="W29" s="98">
        <v>5120</v>
      </c>
      <c r="X29" s="98">
        <v>76.84</v>
      </c>
    </row>
    <row r="30" spans="1:24" x14ac:dyDescent="0.25">
      <c r="A30" s="98">
        <v>64</v>
      </c>
      <c r="B30" s="98">
        <v>160</v>
      </c>
      <c r="C30" s="98">
        <v>1024</v>
      </c>
      <c r="D30" s="98">
        <v>77.239999999999995</v>
      </c>
      <c r="F30" s="98">
        <v>64</v>
      </c>
      <c r="G30" s="98">
        <v>160</v>
      </c>
      <c r="H30" s="98">
        <v>2048</v>
      </c>
      <c r="I30" s="98">
        <v>65.19</v>
      </c>
      <c r="K30" s="98">
        <v>64</v>
      </c>
      <c r="L30" s="98">
        <v>160</v>
      </c>
      <c r="M30" s="98">
        <v>3072</v>
      </c>
      <c r="N30" s="98">
        <v>76.58</v>
      </c>
      <c r="P30" s="98">
        <v>256</v>
      </c>
      <c r="Q30" s="98">
        <v>160</v>
      </c>
      <c r="R30" s="98">
        <v>4096</v>
      </c>
      <c r="S30" s="98">
        <v>68.58</v>
      </c>
      <c r="U30" s="98">
        <v>256</v>
      </c>
      <c r="V30" s="98">
        <v>160</v>
      </c>
      <c r="W30" s="98">
        <v>5120</v>
      </c>
      <c r="X30" s="98">
        <v>75.94</v>
      </c>
    </row>
    <row r="31" spans="1:24" x14ac:dyDescent="0.25">
      <c r="A31" s="98">
        <v>96</v>
      </c>
      <c r="B31" s="98">
        <v>160</v>
      </c>
      <c r="C31" s="98">
        <v>1024</v>
      </c>
      <c r="D31" s="98">
        <v>73.48</v>
      </c>
      <c r="F31" s="98">
        <v>96</v>
      </c>
      <c r="G31" s="98">
        <v>160</v>
      </c>
      <c r="H31" s="98">
        <v>2048</v>
      </c>
      <c r="I31" s="98">
        <v>64.150000000000006</v>
      </c>
      <c r="K31" s="98">
        <v>96</v>
      </c>
      <c r="L31" s="98">
        <v>160</v>
      </c>
      <c r="M31" s="98">
        <v>3072</v>
      </c>
      <c r="N31" s="98">
        <v>76.849999999999994</v>
      </c>
      <c r="P31" s="98">
        <v>512</v>
      </c>
      <c r="Q31" s="98">
        <v>160</v>
      </c>
      <c r="R31" s="98">
        <v>4096</v>
      </c>
      <c r="S31" s="98">
        <v>67.45</v>
      </c>
      <c r="U31" s="98">
        <v>512</v>
      </c>
      <c r="V31" s="98">
        <v>160</v>
      </c>
      <c r="W31" s="98">
        <v>5120</v>
      </c>
      <c r="X31" s="98">
        <v>76</v>
      </c>
    </row>
    <row r="32" spans="1:24" x14ac:dyDescent="0.25">
      <c r="A32" s="98">
        <v>128</v>
      </c>
      <c r="B32" s="98">
        <v>160</v>
      </c>
      <c r="C32" s="98">
        <v>1024</v>
      </c>
      <c r="D32" s="98">
        <v>74.599999999999994</v>
      </c>
      <c r="F32" s="98">
        <v>128</v>
      </c>
      <c r="G32" s="98">
        <v>160</v>
      </c>
      <c r="H32" s="98">
        <v>2048</v>
      </c>
      <c r="I32" s="98">
        <v>65.67</v>
      </c>
      <c r="K32" s="98">
        <v>128</v>
      </c>
      <c r="L32" s="98">
        <v>160</v>
      </c>
      <c r="M32" s="98">
        <v>3072</v>
      </c>
      <c r="N32" s="98">
        <v>76.900000000000006</v>
      </c>
      <c r="P32" s="98">
        <v>32</v>
      </c>
      <c r="Q32" s="98">
        <v>192</v>
      </c>
      <c r="R32" s="98">
        <v>4096</v>
      </c>
      <c r="S32" s="98">
        <v>162.37</v>
      </c>
      <c r="U32" s="98">
        <v>32</v>
      </c>
      <c r="V32" s="98">
        <v>192</v>
      </c>
      <c r="W32" s="98">
        <v>5120</v>
      </c>
      <c r="X32" s="98">
        <v>167.34</v>
      </c>
    </row>
    <row r="33" spans="1:24" x14ac:dyDescent="0.25">
      <c r="A33" s="98">
        <v>256</v>
      </c>
      <c r="B33" s="98">
        <v>160</v>
      </c>
      <c r="C33" s="98">
        <v>1024</v>
      </c>
      <c r="D33" s="98">
        <v>72.38</v>
      </c>
      <c r="F33" s="98">
        <v>256</v>
      </c>
      <c r="G33" s="98">
        <v>160</v>
      </c>
      <c r="H33" s="98">
        <v>2048</v>
      </c>
      <c r="I33" s="98">
        <v>65.5</v>
      </c>
      <c r="K33" s="98">
        <v>256</v>
      </c>
      <c r="L33" s="98">
        <v>160</v>
      </c>
      <c r="M33" s="98">
        <v>3072</v>
      </c>
      <c r="N33" s="98">
        <v>76.66</v>
      </c>
      <c r="P33" s="98">
        <v>64</v>
      </c>
      <c r="Q33" s="98">
        <v>192</v>
      </c>
      <c r="R33" s="98">
        <v>4096</v>
      </c>
      <c r="S33" s="98">
        <v>148.33000000000001</v>
      </c>
      <c r="U33" s="98">
        <v>64</v>
      </c>
      <c r="V33" s="98">
        <v>192</v>
      </c>
      <c r="W33" s="98">
        <v>5120</v>
      </c>
      <c r="X33" s="98">
        <v>156.41</v>
      </c>
    </row>
    <row r="34" spans="1:24" x14ac:dyDescent="0.25">
      <c r="A34" s="98">
        <v>512</v>
      </c>
      <c r="B34" s="98">
        <v>160</v>
      </c>
      <c r="C34" s="98">
        <v>1024</v>
      </c>
      <c r="D34" s="98">
        <v>65.849999999999994</v>
      </c>
      <c r="F34" s="98">
        <v>512</v>
      </c>
      <c r="G34" s="98">
        <v>160</v>
      </c>
      <c r="H34" s="98">
        <v>2048</v>
      </c>
      <c r="I34" s="98">
        <v>62.72</v>
      </c>
      <c r="K34" s="98">
        <v>512</v>
      </c>
      <c r="L34" s="98">
        <v>160</v>
      </c>
      <c r="M34" s="98">
        <v>3072</v>
      </c>
      <c r="N34" s="98">
        <v>75.989999999999995</v>
      </c>
      <c r="P34" s="98">
        <v>96</v>
      </c>
      <c r="Q34" s="98">
        <v>192</v>
      </c>
      <c r="R34" s="98">
        <v>4096</v>
      </c>
      <c r="S34" s="98">
        <v>142</v>
      </c>
      <c r="U34" s="98">
        <v>96</v>
      </c>
      <c r="V34" s="98">
        <v>192</v>
      </c>
      <c r="W34" s="98">
        <v>5120</v>
      </c>
      <c r="X34" s="98">
        <v>151</v>
      </c>
    </row>
    <row r="35" spans="1:24" x14ac:dyDescent="0.25">
      <c r="A35" s="98">
        <v>32</v>
      </c>
      <c r="B35" s="98">
        <v>192</v>
      </c>
      <c r="C35" s="98">
        <v>1024</v>
      </c>
      <c r="D35" s="98">
        <v>197.22</v>
      </c>
      <c r="F35" s="98">
        <v>32</v>
      </c>
      <c r="G35" s="98">
        <v>192</v>
      </c>
      <c r="H35" s="98">
        <v>2048</v>
      </c>
      <c r="I35" s="98">
        <v>163.07</v>
      </c>
      <c r="K35" s="98">
        <v>32</v>
      </c>
      <c r="L35" s="98">
        <v>192</v>
      </c>
      <c r="M35" s="98">
        <v>3072</v>
      </c>
      <c r="N35" s="98">
        <v>175.38</v>
      </c>
      <c r="P35" s="98">
        <v>128</v>
      </c>
      <c r="Q35" s="98">
        <v>192</v>
      </c>
      <c r="R35" s="98">
        <v>4096</v>
      </c>
      <c r="S35" s="98">
        <v>138.66999999999999</v>
      </c>
      <c r="U35" s="98">
        <v>128</v>
      </c>
      <c r="V35" s="98">
        <v>192</v>
      </c>
      <c r="W35" s="98">
        <v>5120</v>
      </c>
      <c r="X35" s="98">
        <v>146.83000000000001</v>
      </c>
    </row>
    <row r="36" spans="1:24" x14ac:dyDescent="0.25">
      <c r="A36" s="98">
        <v>64</v>
      </c>
      <c r="B36" s="98">
        <v>192</v>
      </c>
      <c r="C36" s="98">
        <v>1024</v>
      </c>
      <c r="D36" s="98">
        <v>167.34</v>
      </c>
      <c r="F36" s="98">
        <v>64</v>
      </c>
      <c r="G36" s="98">
        <v>192</v>
      </c>
      <c r="H36" s="98">
        <v>2048</v>
      </c>
      <c r="I36" s="98">
        <v>146.02000000000001</v>
      </c>
      <c r="K36" s="98">
        <v>64</v>
      </c>
      <c r="L36" s="98">
        <v>192</v>
      </c>
      <c r="M36" s="98">
        <v>3072</v>
      </c>
      <c r="N36" s="98">
        <v>159.74</v>
      </c>
      <c r="P36" s="98">
        <v>256</v>
      </c>
      <c r="Q36" s="98">
        <v>192</v>
      </c>
      <c r="R36" s="98">
        <v>4096</v>
      </c>
      <c r="S36" s="98">
        <v>134.55000000000001</v>
      </c>
      <c r="U36" s="98">
        <v>256</v>
      </c>
      <c r="V36" s="98">
        <v>192</v>
      </c>
      <c r="W36" s="98">
        <v>5120</v>
      </c>
      <c r="X36" s="98">
        <v>140.59</v>
      </c>
    </row>
    <row r="37" spans="1:24" x14ac:dyDescent="0.25">
      <c r="A37" s="98">
        <v>96</v>
      </c>
      <c r="B37" s="98">
        <v>192</v>
      </c>
      <c r="C37" s="98">
        <v>1024</v>
      </c>
      <c r="D37" s="98">
        <v>159.46</v>
      </c>
      <c r="F37" s="98">
        <v>96</v>
      </c>
      <c r="G37" s="98">
        <v>192</v>
      </c>
      <c r="H37" s="98">
        <v>2048</v>
      </c>
      <c r="I37" s="98">
        <v>144.6</v>
      </c>
      <c r="K37" s="98">
        <v>96</v>
      </c>
      <c r="L37" s="98">
        <v>192</v>
      </c>
      <c r="M37" s="98">
        <v>3072</v>
      </c>
      <c r="N37" s="98">
        <v>159.09</v>
      </c>
      <c r="P37" s="98">
        <v>512</v>
      </c>
      <c r="Q37" s="98">
        <v>192</v>
      </c>
      <c r="R37" s="98">
        <v>4096</v>
      </c>
      <c r="S37" s="98">
        <v>126.54</v>
      </c>
      <c r="U37" s="98">
        <v>512</v>
      </c>
      <c r="V37" s="98">
        <v>192</v>
      </c>
      <c r="W37" s="98">
        <v>5120</v>
      </c>
      <c r="X37" s="98">
        <v>120.35</v>
      </c>
    </row>
    <row r="38" spans="1:24" x14ac:dyDescent="0.25">
      <c r="A38" s="98">
        <v>128</v>
      </c>
      <c r="B38" s="98">
        <v>192</v>
      </c>
      <c r="C38" s="98">
        <v>1024</v>
      </c>
      <c r="D38" s="98">
        <v>147.57</v>
      </c>
      <c r="F38" s="98">
        <v>128</v>
      </c>
      <c r="G38" s="98">
        <v>192</v>
      </c>
      <c r="H38" s="98">
        <v>2048</v>
      </c>
      <c r="I38" s="98">
        <v>134.97999999999999</v>
      </c>
      <c r="K38" s="98">
        <v>128</v>
      </c>
      <c r="L38" s="98">
        <v>192</v>
      </c>
      <c r="M38" s="98">
        <v>3072</v>
      </c>
      <c r="N38" s="98">
        <v>148.85</v>
      </c>
      <c r="P38" s="98">
        <v>32</v>
      </c>
      <c r="Q38" s="98">
        <v>224</v>
      </c>
      <c r="R38" s="98">
        <v>4096</v>
      </c>
      <c r="S38" s="98">
        <v>102.27</v>
      </c>
      <c r="U38" s="98">
        <v>32</v>
      </c>
      <c r="V38" s="98">
        <v>224</v>
      </c>
      <c r="W38" s="98">
        <v>5120</v>
      </c>
      <c r="X38" s="98">
        <v>108.11</v>
      </c>
    </row>
    <row r="39" spans="1:24" x14ac:dyDescent="0.25">
      <c r="A39" s="98">
        <v>256</v>
      </c>
      <c r="B39" s="98">
        <v>192</v>
      </c>
      <c r="C39" s="98">
        <v>1024</v>
      </c>
      <c r="D39" s="98">
        <v>139.49</v>
      </c>
      <c r="F39" s="98">
        <v>256</v>
      </c>
      <c r="G39" s="98">
        <v>192</v>
      </c>
      <c r="H39" s="98">
        <v>2048</v>
      </c>
      <c r="I39" s="98">
        <v>126.99</v>
      </c>
      <c r="K39" s="98">
        <v>256</v>
      </c>
      <c r="L39" s="98">
        <v>192</v>
      </c>
      <c r="M39" s="98">
        <v>3072</v>
      </c>
      <c r="N39" s="98">
        <v>141.65</v>
      </c>
      <c r="P39" s="98">
        <v>64</v>
      </c>
      <c r="Q39" s="98">
        <v>224</v>
      </c>
      <c r="R39" s="98">
        <v>4096</v>
      </c>
      <c r="S39" s="98">
        <v>100.49</v>
      </c>
      <c r="U39" s="98">
        <v>64</v>
      </c>
      <c r="V39" s="98">
        <v>224</v>
      </c>
      <c r="W39" s="98">
        <v>5120</v>
      </c>
      <c r="X39" s="98">
        <v>106.29</v>
      </c>
    </row>
    <row r="40" spans="1:24" x14ac:dyDescent="0.25">
      <c r="A40" s="98">
        <v>512</v>
      </c>
      <c r="B40" s="98">
        <v>192</v>
      </c>
      <c r="C40" s="98">
        <v>1024</v>
      </c>
      <c r="D40" s="98">
        <v>132.35</v>
      </c>
      <c r="F40" s="98">
        <v>512</v>
      </c>
      <c r="G40" s="98">
        <v>192</v>
      </c>
      <c r="H40" s="98">
        <v>2048</v>
      </c>
      <c r="I40" s="98">
        <v>118.83</v>
      </c>
      <c r="K40" s="98">
        <v>512</v>
      </c>
      <c r="L40" s="98">
        <v>192</v>
      </c>
      <c r="M40" s="98">
        <v>3072</v>
      </c>
      <c r="N40" s="98">
        <v>138.94999999999999</v>
      </c>
      <c r="P40" s="98">
        <v>96</v>
      </c>
      <c r="Q40" s="98">
        <v>224</v>
      </c>
      <c r="R40" s="98">
        <v>4096</v>
      </c>
      <c r="S40" s="98">
        <v>97.95</v>
      </c>
      <c r="U40" s="98">
        <v>96</v>
      </c>
      <c r="V40" s="98">
        <v>224</v>
      </c>
      <c r="W40" s="98">
        <v>5120</v>
      </c>
      <c r="X40" s="98">
        <v>105.25</v>
      </c>
    </row>
    <row r="41" spans="1:24" x14ac:dyDescent="0.25">
      <c r="A41" s="98">
        <v>32</v>
      </c>
      <c r="B41" s="98">
        <v>224</v>
      </c>
      <c r="C41" s="98">
        <v>1024</v>
      </c>
      <c r="D41" s="98">
        <v>124.78</v>
      </c>
      <c r="F41" s="98">
        <v>32</v>
      </c>
      <c r="G41" s="98">
        <v>224</v>
      </c>
      <c r="H41" s="98">
        <v>2048</v>
      </c>
      <c r="I41" s="98">
        <v>100.12</v>
      </c>
      <c r="K41" s="98">
        <v>32</v>
      </c>
      <c r="L41" s="98">
        <v>224</v>
      </c>
      <c r="M41" s="98">
        <v>3072</v>
      </c>
      <c r="N41" s="98">
        <v>111.11</v>
      </c>
      <c r="P41" s="98">
        <v>128</v>
      </c>
      <c r="Q41" s="98">
        <v>224</v>
      </c>
      <c r="R41" s="98">
        <v>4096</v>
      </c>
      <c r="S41" s="98">
        <v>90.24</v>
      </c>
      <c r="U41" s="98">
        <v>128</v>
      </c>
      <c r="V41" s="98">
        <v>224</v>
      </c>
      <c r="W41" s="98">
        <v>5120</v>
      </c>
      <c r="X41" s="98">
        <v>101.81</v>
      </c>
    </row>
    <row r="42" spans="1:24" x14ac:dyDescent="0.25">
      <c r="A42" s="98">
        <v>64</v>
      </c>
      <c r="B42" s="98">
        <v>224</v>
      </c>
      <c r="C42" s="98">
        <v>1024</v>
      </c>
      <c r="D42" s="98">
        <v>109.65</v>
      </c>
      <c r="F42" s="98">
        <v>64</v>
      </c>
      <c r="G42" s="98">
        <v>224</v>
      </c>
      <c r="H42" s="98">
        <v>2048</v>
      </c>
      <c r="I42" s="98">
        <v>94.01</v>
      </c>
      <c r="K42" s="98">
        <v>64</v>
      </c>
      <c r="L42" s="98">
        <v>224</v>
      </c>
      <c r="M42" s="98">
        <v>3072</v>
      </c>
      <c r="N42" s="98">
        <v>108.58</v>
      </c>
      <c r="P42" s="98">
        <v>256</v>
      </c>
      <c r="Q42" s="98">
        <v>224</v>
      </c>
      <c r="R42" s="98">
        <v>4096</v>
      </c>
      <c r="S42" s="98">
        <v>86.35</v>
      </c>
      <c r="U42" s="98">
        <v>256</v>
      </c>
      <c r="V42" s="98">
        <v>224</v>
      </c>
      <c r="W42" s="98">
        <v>5120</v>
      </c>
      <c r="X42" s="98">
        <v>89.32</v>
      </c>
    </row>
    <row r="43" spans="1:24" x14ac:dyDescent="0.25">
      <c r="A43" s="98">
        <v>96</v>
      </c>
      <c r="B43" s="98">
        <v>224</v>
      </c>
      <c r="C43" s="98">
        <v>1024</v>
      </c>
      <c r="D43" s="98">
        <v>103.23</v>
      </c>
      <c r="F43" s="98">
        <v>96</v>
      </c>
      <c r="G43" s="98">
        <v>224</v>
      </c>
      <c r="H43" s="98">
        <v>2048</v>
      </c>
      <c r="I43" s="98">
        <v>90.67</v>
      </c>
      <c r="K43" s="98">
        <v>96</v>
      </c>
      <c r="L43" s="98">
        <v>224</v>
      </c>
      <c r="M43" s="98">
        <v>3072</v>
      </c>
      <c r="N43" s="98">
        <v>104.99</v>
      </c>
      <c r="P43" s="98">
        <v>512</v>
      </c>
      <c r="Q43" s="98">
        <v>224</v>
      </c>
      <c r="R43" s="98">
        <v>4096</v>
      </c>
      <c r="S43" s="98">
        <v>79.69</v>
      </c>
      <c r="U43" s="98">
        <v>512</v>
      </c>
      <c r="V43" s="98">
        <v>224</v>
      </c>
      <c r="W43" s="98">
        <v>5120</v>
      </c>
      <c r="X43" s="98">
        <v>83.39</v>
      </c>
    </row>
    <row r="44" spans="1:24" x14ac:dyDescent="0.25">
      <c r="A44" s="98">
        <v>128</v>
      </c>
      <c r="B44" s="98">
        <v>224</v>
      </c>
      <c r="C44" s="98">
        <v>1024</v>
      </c>
      <c r="D44" s="98">
        <v>94.52</v>
      </c>
      <c r="F44" s="98">
        <v>128</v>
      </c>
      <c r="G44" s="98">
        <v>224</v>
      </c>
      <c r="H44" s="98">
        <v>2048</v>
      </c>
      <c r="I44" s="98">
        <v>88.93</v>
      </c>
      <c r="K44" s="98">
        <v>128</v>
      </c>
      <c r="L44" s="98">
        <v>224</v>
      </c>
      <c r="M44" s="98">
        <v>3072</v>
      </c>
      <c r="N44" s="98">
        <v>102.3</v>
      </c>
      <c r="P44" s="98">
        <v>32</v>
      </c>
      <c r="Q44" s="98">
        <v>256</v>
      </c>
      <c r="R44" s="98">
        <v>4096</v>
      </c>
      <c r="S44" s="98">
        <v>186.11</v>
      </c>
      <c r="U44" s="98">
        <v>32</v>
      </c>
      <c r="V44" s="98">
        <v>256</v>
      </c>
      <c r="W44" s="98">
        <v>5120</v>
      </c>
      <c r="X44" s="98">
        <v>191.93</v>
      </c>
    </row>
    <row r="45" spans="1:24" x14ac:dyDescent="0.25">
      <c r="A45" s="98">
        <v>256</v>
      </c>
      <c r="B45" s="98">
        <v>224</v>
      </c>
      <c r="C45" s="98">
        <v>1024</v>
      </c>
      <c r="D45" s="98">
        <v>85.99</v>
      </c>
      <c r="F45" s="98">
        <v>256</v>
      </c>
      <c r="G45" s="98">
        <v>224</v>
      </c>
      <c r="H45" s="98">
        <v>2048</v>
      </c>
      <c r="I45" s="98">
        <v>85.07</v>
      </c>
      <c r="K45" s="98">
        <v>256</v>
      </c>
      <c r="L45" s="98">
        <v>224</v>
      </c>
      <c r="M45" s="98">
        <v>3072</v>
      </c>
      <c r="N45" s="98">
        <v>97.08</v>
      </c>
      <c r="P45" s="98">
        <v>64</v>
      </c>
      <c r="Q45" s="98">
        <v>256</v>
      </c>
      <c r="R45" s="98">
        <v>4096</v>
      </c>
      <c r="S45" s="98">
        <v>182.94</v>
      </c>
      <c r="U45" s="98">
        <v>64</v>
      </c>
      <c r="V45" s="98">
        <v>256</v>
      </c>
      <c r="W45" s="98">
        <v>5120</v>
      </c>
      <c r="X45" s="98">
        <v>188.06</v>
      </c>
    </row>
    <row r="46" spans="1:24" x14ac:dyDescent="0.25">
      <c r="A46" s="98">
        <v>512</v>
      </c>
      <c r="B46" s="98">
        <v>224</v>
      </c>
      <c r="C46" s="98">
        <v>1024</v>
      </c>
      <c r="D46" s="98">
        <v>86.62</v>
      </c>
      <c r="F46" s="98">
        <v>512</v>
      </c>
      <c r="G46" s="98">
        <v>224</v>
      </c>
      <c r="H46" s="98">
        <v>2048</v>
      </c>
      <c r="I46" s="98">
        <v>81.86</v>
      </c>
      <c r="K46" s="98">
        <v>512</v>
      </c>
      <c r="L46" s="98">
        <v>224</v>
      </c>
      <c r="M46" s="98">
        <v>3072</v>
      </c>
      <c r="N46" s="98">
        <v>94.13</v>
      </c>
      <c r="P46" s="98">
        <v>96</v>
      </c>
      <c r="Q46" s="98">
        <v>256</v>
      </c>
      <c r="R46" s="98">
        <v>4096</v>
      </c>
      <c r="S46" s="98">
        <v>172.3</v>
      </c>
      <c r="U46" s="98">
        <v>96</v>
      </c>
      <c r="V46" s="98">
        <v>256</v>
      </c>
      <c r="W46" s="98">
        <v>5120</v>
      </c>
      <c r="X46" s="98">
        <v>179.37</v>
      </c>
    </row>
    <row r="47" spans="1:24" x14ac:dyDescent="0.25">
      <c r="A47" s="98">
        <v>32</v>
      </c>
      <c r="B47" s="98">
        <v>256</v>
      </c>
      <c r="C47" s="98">
        <v>1024</v>
      </c>
      <c r="D47" s="98">
        <v>221.77</v>
      </c>
      <c r="F47" s="98">
        <v>32</v>
      </c>
      <c r="G47" s="98">
        <v>256</v>
      </c>
      <c r="H47" s="98">
        <v>2048</v>
      </c>
      <c r="I47" s="98">
        <v>195.81</v>
      </c>
      <c r="K47" s="98">
        <v>32</v>
      </c>
      <c r="L47" s="98">
        <v>256</v>
      </c>
      <c r="M47" s="98">
        <v>3072</v>
      </c>
      <c r="N47" s="98">
        <v>196.15</v>
      </c>
      <c r="P47" s="98">
        <v>128</v>
      </c>
      <c r="Q47" s="98">
        <v>256</v>
      </c>
      <c r="R47" s="98">
        <v>4096</v>
      </c>
      <c r="S47" s="98">
        <v>175.78</v>
      </c>
      <c r="U47" s="98">
        <v>128</v>
      </c>
      <c r="V47" s="98">
        <v>256</v>
      </c>
      <c r="W47" s="98">
        <v>5120</v>
      </c>
      <c r="X47" s="98">
        <v>179.21</v>
      </c>
    </row>
    <row r="48" spans="1:24" x14ac:dyDescent="0.25">
      <c r="A48" s="98">
        <v>64</v>
      </c>
      <c r="B48" s="98">
        <v>256</v>
      </c>
      <c r="C48" s="98">
        <v>1024</v>
      </c>
      <c r="D48" s="98">
        <v>198.58</v>
      </c>
      <c r="F48" s="98">
        <v>64</v>
      </c>
      <c r="G48" s="98">
        <v>256</v>
      </c>
      <c r="H48" s="98">
        <v>2048</v>
      </c>
      <c r="I48" s="98">
        <v>175.31</v>
      </c>
      <c r="K48" s="98">
        <v>64</v>
      </c>
      <c r="L48" s="98">
        <v>256</v>
      </c>
      <c r="M48" s="98">
        <v>3072</v>
      </c>
      <c r="N48" s="98">
        <v>184.89</v>
      </c>
      <c r="P48" s="98">
        <v>256</v>
      </c>
      <c r="Q48" s="98">
        <v>256</v>
      </c>
      <c r="R48" s="98">
        <v>4096</v>
      </c>
      <c r="S48" s="98">
        <v>165.69</v>
      </c>
      <c r="U48" s="98">
        <v>256</v>
      </c>
      <c r="V48" s="98">
        <v>256</v>
      </c>
      <c r="W48" s="98">
        <v>5120</v>
      </c>
      <c r="X48" s="98">
        <v>174.56</v>
      </c>
    </row>
    <row r="49" spans="1:24" x14ac:dyDescent="0.25">
      <c r="A49" s="98">
        <v>96</v>
      </c>
      <c r="B49" s="98">
        <v>256</v>
      </c>
      <c r="C49" s="98">
        <v>1024</v>
      </c>
      <c r="D49" s="98">
        <v>186.81</v>
      </c>
      <c r="F49" s="98">
        <v>96</v>
      </c>
      <c r="G49" s="98">
        <v>256</v>
      </c>
      <c r="H49" s="98">
        <v>2048</v>
      </c>
      <c r="I49" s="98">
        <v>170.93</v>
      </c>
      <c r="K49" s="98">
        <v>96</v>
      </c>
      <c r="L49" s="98">
        <v>256</v>
      </c>
      <c r="M49" s="98">
        <v>3072</v>
      </c>
      <c r="N49" s="98">
        <v>182.74</v>
      </c>
      <c r="P49" s="98">
        <v>32</v>
      </c>
      <c r="Q49" s="98">
        <v>288</v>
      </c>
      <c r="R49" s="98">
        <v>4096</v>
      </c>
      <c r="S49" s="98">
        <v>132.63</v>
      </c>
      <c r="U49" s="98">
        <v>32</v>
      </c>
      <c r="V49" s="98">
        <v>288</v>
      </c>
      <c r="W49" s="98">
        <v>5120</v>
      </c>
      <c r="X49" s="98">
        <v>137.07</v>
      </c>
    </row>
    <row r="50" spans="1:24" x14ac:dyDescent="0.25">
      <c r="A50" s="98">
        <v>128</v>
      </c>
      <c r="B50" s="98">
        <v>256</v>
      </c>
      <c r="C50" s="98">
        <v>1024</v>
      </c>
      <c r="D50" s="98">
        <v>188.24</v>
      </c>
      <c r="F50" s="98">
        <v>128</v>
      </c>
      <c r="G50" s="98">
        <v>256</v>
      </c>
      <c r="H50" s="98">
        <v>2048</v>
      </c>
      <c r="I50" s="98">
        <v>166.86</v>
      </c>
      <c r="K50" s="98">
        <v>128</v>
      </c>
      <c r="L50" s="98">
        <v>256</v>
      </c>
      <c r="M50" s="98">
        <v>3072</v>
      </c>
      <c r="N50" s="98">
        <v>182.37</v>
      </c>
      <c r="P50" s="98">
        <v>64</v>
      </c>
      <c r="Q50" s="98">
        <v>288</v>
      </c>
      <c r="R50" s="98">
        <v>4096</v>
      </c>
      <c r="S50" s="98">
        <v>128.55000000000001</v>
      </c>
      <c r="U50" s="98">
        <v>64</v>
      </c>
      <c r="V50" s="98">
        <v>288</v>
      </c>
      <c r="W50" s="98">
        <v>5120</v>
      </c>
      <c r="X50" s="98">
        <v>135.69999999999999</v>
      </c>
    </row>
    <row r="51" spans="1:24" x14ac:dyDescent="0.25">
      <c r="A51" s="98">
        <v>256</v>
      </c>
      <c r="B51" s="98">
        <v>256</v>
      </c>
      <c r="C51" s="98">
        <v>1024</v>
      </c>
      <c r="D51" s="98">
        <v>174.7</v>
      </c>
      <c r="F51" s="98">
        <v>256</v>
      </c>
      <c r="G51" s="98">
        <v>256</v>
      </c>
      <c r="H51" s="98">
        <v>2048</v>
      </c>
      <c r="I51" s="98">
        <v>161.78</v>
      </c>
      <c r="K51" s="98">
        <v>256</v>
      </c>
      <c r="L51" s="98">
        <v>256</v>
      </c>
      <c r="M51" s="98">
        <v>3072</v>
      </c>
      <c r="N51" s="98">
        <v>181</v>
      </c>
      <c r="P51" s="98">
        <v>96</v>
      </c>
      <c r="Q51" s="98">
        <v>288</v>
      </c>
      <c r="R51" s="98">
        <v>4096</v>
      </c>
      <c r="S51" s="98">
        <v>125.36</v>
      </c>
      <c r="U51" s="98">
        <v>96</v>
      </c>
      <c r="V51" s="98">
        <v>288</v>
      </c>
      <c r="W51" s="98">
        <v>5120</v>
      </c>
      <c r="X51" s="98">
        <v>131.30000000000001</v>
      </c>
    </row>
    <row r="52" spans="1:24" x14ac:dyDescent="0.25">
      <c r="A52" s="98">
        <v>32</v>
      </c>
      <c r="B52" s="98">
        <v>288</v>
      </c>
      <c r="C52" s="98">
        <v>1024</v>
      </c>
      <c r="D52" s="98">
        <v>152.83000000000001</v>
      </c>
      <c r="F52" s="98">
        <v>32</v>
      </c>
      <c r="G52" s="98">
        <v>288</v>
      </c>
      <c r="H52" s="98">
        <v>2048</v>
      </c>
      <c r="I52" s="98">
        <v>133.6</v>
      </c>
      <c r="K52" s="98">
        <v>32</v>
      </c>
      <c r="L52" s="98">
        <v>288</v>
      </c>
      <c r="M52" s="98">
        <v>3072</v>
      </c>
      <c r="N52" s="98">
        <v>139.01</v>
      </c>
      <c r="P52" s="98">
        <v>128</v>
      </c>
      <c r="Q52" s="98">
        <v>288</v>
      </c>
      <c r="R52" s="98">
        <v>4096</v>
      </c>
      <c r="S52" s="98">
        <v>120.57</v>
      </c>
      <c r="U52" s="98">
        <v>128</v>
      </c>
      <c r="V52" s="98">
        <v>288</v>
      </c>
      <c r="W52" s="98">
        <v>5120</v>
      </c>
      <c r="X52" s="98">
        <v>126.95</v>
      </c>
    </row>
    <row r="53" spans="1:24" x14ac:dyDescent="0.25">
      <c r="A53" s="98">
        <v>64</v>
      </c>
      <c r="B53" s="98">
        <v>288</v>
      </c>
      <c r="C53" s="98">
        <v>1024</v>
      </c>
      <c r="D53" s="98">
        <v>136.02000000000001</v>
      </c>
      <c r="F53" s="98">
        <v>64</v>
      </c>
      <c r="G53" s="98">
        <v>288</v>
      </c>
      <c r="H53" s="98">
        <v>2048</v>
      </c>
      <c r="I53" s="98">
        <v>121.59</v>
      </c>
      <c r="K53" s="98">
        <v>64</v>
      </c>
      <c r="L53" s="98">
        <v>288</v>
      </c>
      <c r="M53" s="98">
        <v>3072</v>
      </c>
      <c r="N53" s="98">
        <v>135.30000000000001</v>
      </c>
      <c r="P53" s="98">
        <v>256</v>
      </c>
      <c r="Q53" s="98">
        <v>288</v>
      </c>
      <c r="R53" s="98">
        <v>4096</v>
      </c>
      <c r="S53" s="98">
        <v>106.46</v>
      </c>
      <c r="U53" s="98">
        <v>256</v>
      </c>
      <c r="V53" s="98">
        <v>288</v>
      </c>
      <c r="W53" s="98">
        <v>5120</v>
      </c>
      <c r="X53" s="98">
        <v>121.94</v>
      </c>
    </row>
    <row r="54" spans="1:24" x14ac:dyDescent="0.25">
      <c r="A54" s="98">
        <v>96</v>
      </c>
      <c r="B54" s="98">
        <v>288</v>
      </c>
      <c r="C54" s="98">
        <v>1024</v>
      </c>
      <c r="D54" s="98">
        <v>128.52000000000001</v>
      </c>
      <c r="F54" s="98">
        <v>96</v>
      </c>
      <c r="G54" s="98">
        <v>288</v>
      </c>
      <c r="H54" s="98">
        <v>2048</v>
      </c>
      <c r="I54" s="98">
        <v>118.31</v>
      </c>
      <c r="K54" s="98">
        <v>96</v>
      </c>
      <c r="L54" s="98">
        <v>288</v>
      </c>
      <c r="M54" s="98">
        <v>3072</v>
      </c>
      <c r="N54" s="98">
        <v>133.27000000000001</v>
      </c>
      <c r="P54" s="98">
        <v>32</v>
      </c>
      <c r="Q54" s="98">
        <v>320</v>
      </c>
      <c r="R54" s="98">
        <v>4096</v>
      </c>
      <c r="S54" s="98">
        <v>157.32</v>
      </c>
      <c r="U54" s="98">
        <v>32</v>
      </c>
      <c r="V54" s="98">
        <v>320</v>
      </c>
      <c r="W54" s="98">
        <v>5120</v>
      </c>
      <c r="X54" s="98">
        <v>150.94999999999999</v>
      </c>
    </row>
    <row r="55" spans="1:24" x14ac:dyDescent="0.25">
      <c r="A55" s="98">
        <v>128</v>
      </c>
      <c r="B55" s="98">
        <v>288</v>
      </c>
      <c r="C55" s="98">
        <v>1024</v>
      </c>
      <c r="D55" s="98">
        <v>115.47</v>
      </c>
      <c r="F55" s="98">
        <v>128</v>
      </c>
      <c r="G55" s="98">
        <v>288</v>
      </c>
      <c r="H55" s="98">
        <v>2048</v>
      </c>
      <c r="I55" s="98">
        <v>107.72</v>
      </c>
      <c r="K55" s="98">
        <v>128</v>
      </c>
      <c r="L55" s="98">
        <v>288</v>
      </c>
      <c r="M55" s="98">
        <v>3072</v>
      </c>
      <c r="N55" s="98">
        <v>130.84</v>
      </c>
      <c r="P55" s="98">
        <v>64</v>
      </c>
      <c r="Q55" s="98">
        <v>320</v>
      </c>
      <c r="R55" s="98">
        <v>4096</v>
      </c>
      <c r="S55" s="98">
        <v>155.83000000000001</v>
      </c>
      <c r="U55" s="98">
        <v>64</v>
      </c>
      <c r="V55" s="98">
        <v>320</v>
      </c>
      <c r="W55" s="98">
        <v>5120</v>
      </c>
      <c r="X55" s="98">
        <v>151.12</v>
      </c>
    </row>
    <row r="56" spans="1:24" x14ac:dyDescent="0.25">
      <c r="A56" s="98">
        <v>256</v>
      </c>
      <c r="B56" s="98">
        <v>288</v>
      </c>
      <c r="C56" s="98">
        <v>1024</v>
      </c>
      <c r="D56" s="98">
        <v>111.43</v>
      </c>
      <c r="F56" s="98">
        <v>256</v>
      </c>
      <c r="G56" s="98">
        <v>288</v>
      </c>
      <c r="H56" s="98">
        <v>2048</v>
      </c>
      <c r="I56" s="98">
        <v>95.63</v>
      </c>
      <c r="K56" s="98">
        <v>256</v>
      </c>
      <c r="L56" s="98">
        <v>288</v>
      </c>
      <c r="M56" s="98">
        <v>3072</v>
      </c>
      <c r="N56" s="98">
        <v>107.49</v>
      </c>
      <c r="P56" s="98">
        <v>96</v>
      </c>
      <c r="Q56" s="98">
        <v>320</v>
      </c>
      <c r="R56" s="98">
        <v>4096</v>
      </c>
      <c r="S56" s="98">
        <v>154.71</v>
      </c>
      <c r="U56" s="98">
        <v>96</v>
      </c>
      <c r="V56" s="98">
        <v>320</v>
      </c>
      <c r="W56" s="98">
        <v>5120</v>
      </c>
      <c r="X56" s="98">
        <v>149.61000000000001</v>
      </c>
    </row>
    <row r="57" spans="1:24" x14ac:dyDescent="0.25">
      <c r="A57" s="98">
        <v>32</v>
      </c>
      <c r="B57" s="98">
        <v>320</v>
      </c>
      <c r="C57" s="98">
        <v>1024</v>
      </c>
      <c r="D57" s="98">
        <v>169.86</v>
      </c>
      <c r="F57" s="98">
        <v>32</v>
      </c>
      <c r="G57" s="98">
        <v>320</v>
      </c>
      <c r="H57" s="98">
        <v>2048</v>
      </c>
      <c r="I57" s="98">
        <v>161.85</v>
      </c>
      <c r="K57" s="98">
        <v>32</v>
      </c>
      <c r="L57" s="98">
        <v>320</v>
      </c>
      <c r="M57" s="98">
        <v>3072</v>
      </c>
      <c r="N57" s="98">
        <v>152.04</v>
      </c>
      <c r="P57" s="98">
        <v>128</v>
      </c>
      <c r="Q57" s="98">
        <v>320</v>
      </c>
      <c r="R57" s="98">
        <v>4096</v>
      </c>
      <c r="S57" s="98">
        <v>154.19</v>
      </c>
      <c r="U57" s="98">
        <v>128</v>
      </c>
      <c r="V57" s="98">
        <v>320</v>
      </c>
      <c r="W57" s="98">
        <v>5120</v>
      </c>
      <c r="X57" s="98">
        <v>150.12</v>
      </c>
    </row>
    <row r="58" spans="1:24" x14ac:dyDescent="0.25">
      <c r="A58" s="98">
        <v>64</v>
      </c>
      <c r="B58" s="98">
        <v>320</v>
      </c>
      <c r="C58" s="98">
        <v>1024</v>
      </c>
      <c r="D58" s="98">
        <v>152.02000000000001</v>
      </c>
      <c r="F58" s="98">
        <v>64</v>
      </c>
      <c r="G58" s="98">
        <v>320</v>
      </c>
      <c r="H58" s="98">
        <v>2048</v>
      </c>
      <c r="I58" s="98">
        <v>144.87</v>
      </c>
      <c r="K58" s="98">
        <v>64</v>
      </c>
      <c r="L58" s="98">
        <v>320</v>
      </c>
      <c r="M58" s="98">
        <v>3072</v>
      </c>
      <c r="N58" s="98">
        <v>150.43</v>
      </c>
      <c r="P58" s="98">
        <v>256</v>
      </c>
      <c r="Q58" s="98">
        <v>320</v>
      </c>
      <c r="R58" s="98">
        <v>4096</v>
      </c>
      <c r="S58" s="98">
        <v>149.4</v>
      </c>
      <c r="U58" s="98">
        <v>256</v>
      </c>
      <c r="V58" s="98">
        <v>320</v>
      </c>
      <c r="W58" s="98">
        <v>5120</v>
      </c>
      <c r="X58" s="98">
        <v>147.16999999999999</v>
      </c>
    </row>
    <row r="59" spans="1:24" x14ac:dyDescent="0.25">
      <c r="A59" s="98">
        <v>96</v>
      </c>
      <c r="B59" s="98">
        <v>320</v>
      </c>
      <c r="C59" s="98">
        <v>1024</v>
      </c>
      <c r="D59" s="98">
        <v>144.1</v>
      </c>
      <c r="F59" s="98">
        <v>96</v>
      </c>
      <c r="G59" s="98">
        <v>320</v>
      </c>
      <c r="H59" s="98">
        <v>2048</v>
      </c>
      <c r="I59" s="98">
        <v>147.94999999999999</v>
      </c>
      <c r="K59" s="98">
        <v>96</v>
      </c>
      <c r="L59" s="98">
        <v>320</v>
      </c>
      <c r="M59" s="98">
        <v>3072</v>
      </c>
      <c r="N59" s="98">
        <v>151.03</v>
      </c>
      <c r="P59" s="98">
        <v>32</v>
      </c>
      <c r="Q59" s="98">
        <v>352</v>
      </c>
      <c r="R59" s="98">
        <v>4096</v>
      </c>
      <c r="S59" s="98">
        <v>110</v>
      </c>
      <c r="U59" s="98">
        <v>32</v>
      </c>
      <c r="V59" s="98">
        <v>352</v>
      </c>
      <c r="W59" s="98">
        <v>5120</v>
      </c>
      <c r="X59" s="98">
        <v>110.17</v>
      </c>
    </row>
    <row r="60" spans="1:24" x14ac:dyDescent="0.25">
      <c r="A60" s="98">
        <v>128</v>
      </c>
      <c r="B60" s="98">
        <v>320</v>
      </c>
      <c r="C60" s="98">
        <v>1024</v>
      </c>
      <c r="D60" s="98">
        <v>146.4</v>
      </c>
      <c r="F60" s="98">
        <v>128</v>
      </c>
      <c r="G60" s="98">
        <v>320</v>
      </c>
      <c r="H60" s="98">
        <v>2048</v>
      </c>
      <c r="I60" s="98">
        <v>148.56</v>
      </c>
      <c r="K60" s="98">
        <v>128</v>
      </c>
      <c r="L60" s="98">
        <v>320</v>
      </c>
      <c r="M60" s="98">
        <v>3072</v>
      </c>
      <c r="N60" s="98">
        <v>150.41</v>
      </c>
      <c r="P60" s="98">
        <v>64</v>
      </c>
      <c r="Q60" s="98">
        <v>352</v>
      </c>
      <c r="R60" s="98">
        <v>4096</v>
      </c>
      <c r="S60" s="98">
        <v>97.06</v>
      </c>
      <c r="U60" s="98">
        <v>64</v>
      </c>
      <c r="V60" s="98">
        <v>352</v>
      </c>
      <c r="W60" s="98">
        <v>5120</v>
      </c>
      <c r="X60" s="98">
        <v>106.23</v>
      </c>
    </row>
    <row r="61" spans="1:24" x14ac:dyDescent="0.25">
      <c r="A61" s="98">
        <v>256</v>
      </c>
      <c r="B61" s="98">
        <v>320</v>
      </c>
      <c r="C61" s="98">
        <v>1024</v>
      </c>
      <c r="D61" s="98">
        <v>142.47999999999999</v>
      </c>
      <c r="F61" s="98">
        <v>256</v>
      </c>
      <c r="G61" s="98">
        <v>320</v>
      </c>
      <c r="H61" s="98">
        <v>2048</v>
      </c>
      <c r="I61" s="98">
        <v>144.08000000000001</v>
      </c>
      <c r="K61" s="98">
        <v>256</v>
      </c>
      <c r="L61" s="98">
        <v>320</v>
      </c>
      <c r="M61" s="98">
        <v>3072</v>
      </c>
      <c r="N61" s="98">
        <v>147.16</v>
      </c>
      <c r="P61" s="98">
        <v>96</v>
      </c>
      <c r="Q61" s="98">
        <v>352</v>
      </c>
      <c r="R61" s="98">
        <v>4096</v>
      </c>
      <c r="S61" s="98">
        <v>93.42</v>
      </c>
      <c r="U61" s="98">
        <v>96</v>
      </c>
      <c r="V61" s="98">
        <v>352</v>
      </c>
      <c r="W61" s="98">
        <v>5120</v>
      </c>
      <c r="X61" s="98">
        <v>98.91</v>
      </c>
    </row>
    <row r="62" spans="1:24" x14ac:dyDescent="0.25">
      <c r="A62" s="98">
        <v>32</v>
      </c>
      <c r="B62" s="98">
        <v>352</v>
      </c>
      <c r="C62" s="98">
        <v>1024</v>
      </c>
      <c r="D62" s="98">
        <v>126.74</v>
      </c>
      <c r="F62" s="98">
        <v>32</v>
      </c>
      <c r="G62" s="98">
        <v>352</v>
      </c>
      <c r="H62" s="98">
        <v>2048</v>
      </c>
      <c r="I62" s="98">
        <v>113.59</v>
      </c>
      <c r="K62" s="98">
        <v>32</v>
      </c>
      <c r="L62" s="98">
        <v>352</v>
      </c>
      <c r="M62" s="98">
        <v>3072</v>
      </c>
      <c r="N62" s="98">
        <v>110.65</v>
      </c>
      <c r="P62" s="98">
        <v>128</v>
      </c>
      <c r="Q62" s="98">
        <v>352</v>
      </c>
      <c r="R62" s="98">
        <v>4096</v>
      </c>
      <c r="S62" s="98">
        <v>91.28</v>
      </c>
      <c r="U62" s="98">
        <v>128</v>
      </c>
      <c r="V62" s="98">
        <v>352</v>
      </c>
      <c r="W62" s="98">
        <v>5120</v>
      </c>
      <c r="X62" s="98">
        <v>92.82</v>
      </c>
    </row>
    <row r="63" spans="1:24" x14ac:dyDescent="0.25">
      <c r="A63" s="98">
        <v>64</v>
      </c>
      <c r="B63" s="98">
        <v>352</v>
      </c>
      <c r="C63" s="98">
        <v>1024</v>
      </c>
      <c r="D63" s="98">
        <v>100.43</v>
      </c>
      <c r="F63" s="98">
        <v>64</v>
      </c>
      <c r="G63" s="98">
        <v>352</v>
      </c>
      <c r="H63" s="98">
        <v>2048</v>
      </c>
      <c r="I63" s="98">
        <v>96.27</v>
      </c>
      <c r="K63" s="98">
        <v>64</v>
      </c>
      <c r="L63" s="98">
        <v>352</v>
      </c>
      <c r="M63" s="98">
        <v>3072</v>
      </c>
      <c r="N63" s="98">
        <v>101.38</v>
      </c>
      <c r="P63" s="98">
        <v>256</v>
      </c>
      <c r="Q63" s="98">
        <v>352</v>
      </c>
      <c r="R63" s="98">
        <v>4096</v>
      </c>
      <c r="S63" s="98">
        <v>89.77</v>
      </c>
      <c r="U63" s="98">
        <v>256</v>
      </c>
      <c r="V63" s="98">
        <v>352</v>
      </c>
      <c r="W63" s="98">
        <v>5120</v>
      </c>
      <c r="X63" s="98">
        <v>95.18</v>
      </c>
    </row>
    <row r="64" spans="1:24" x14ac:dyDescent="0.25">
      <c r="A64" s="98">
        <v>96</v>
      </c>
      <c r="B64" s="98">
        <v>352</v>
      </c>
      <c r="C64" s="98">
        <v>1024</v>
      </c>
      <c r="D64" s="98">
        <v>98.81</v>
      </c>
      <c r="F64" s="98">
        <v>96</v>
      </c>
      <c r="G64" s="98">
        <v>352</v>
      </c>
      <c r="H64" s="98">
        <v>2048</v>
      </c>
      <c r="I64" s="98">
        <v>91.43</v>
      </c>
      <c r="K64" s="98">
        <v>96</v>
      </c>
      <c r="L64" s="98">
        <v>352</v>
      </c>
      <c r="M64" s="98">
        <v>3072</v>
      </c>
      <c r="N64" s="98">
        <v>96.69</v>
      </c>
      <c r="P64" s="98">
        <v>32</v>
      </c>
      <c r="Q64" s="98">
        <v>384</v>
      </c>
      <c r="R64" s="98">
        <v>4096</v>
      </c>
      <c r="S64" s="98">
        <v>188.51</v>
      </c>
      <c r="U64" s="98">
        <v>32</v>
      </c>
      <c r="V64" s="98">
        <v>384</v>
      </c>
      <c r="W64" s="98">
        <v>5120</v>
      </c>
      <c r="X64" s="98">
        <v>178.26</v>
      </c>
    </row>
    <row r="65" spans="1:24" x14ac:dyDescent="0.25">
      <c r="A65" s="98">
        <v>128</v>
      </c>
      <c r="B65" s="98">
        <v>352</v>
      </c>
      <c r="C65" s="98">
        <v>1024</v>
      </c>
      <c r="D65" s="98">
        <v>89.18</v>
      </c>
      <c r="F65" s="98">
        <v>128</v>
      </c>
      <c r="G65" s="98">
        <v>352</v>
      </c>
      <c r="H65" s="98">
        <v>2048</v>
      </c>
      <c r="I65" s="98">
        <v>83.38</v>
      </c>
      <c r="K65" s="98">
        <v>128</v>
      </c>
      <c r="L65" s="98">
        <v>352</v>
      </c>
      <c r="M65" s="98">
        <v>3072</v>
      </c>
      <c r="N65" s="98">
        <v>93.02</v>
      </c>
      <c r="P65" s="98">
        <v>64</v>
      </c>
      <c r="Q65" s="98">
        <v>384</v>
      </c>
      <c r="R65" s="98">
        <v>4096</v>
      </c>
      <c r="S65" s="98">
        <v>183.28</v>
      </c>
      <c r="U65" s="98">
        <v>64</v>
      </c>
      <c r="V65" s="98">
        <v>384</v>
      </c>
      <c r="W65" s="98">
        <v>5120</v>
      </c>
      <c r="X65" s="98">
        <v>176.12</v>
      </c>
    </row>
    <row r="66" spans="1:24" x14ac:dyDescent="0.25">
      <c r="A66" s="98">
        <v>256</v>
      </c>
      <c r="B66" s="98">
        <v>352</v>
      </c>
      <c r="C66" s="98">
        <v>1024</v>
      </c>
      <c r="D66" s="98">
        <v>86.31</v>
      </c>
      <c r="F66" s="98">
        <v>256</v>
      </c>
      <c r="G66" s="98">
        <v>352</v>
      </c>
      <c r="H66" s="98">
        <v>2048</v>
      </c>
      <c r="I66" s="98">
        <v>82.21</v>
      </c>
      <c r="K66" s="98">
        <v>256</v>
      </c>
      <c r="L66" s="98">
        <v>352</v>
      </c>
      <c r="M66" s="98">
        <v>3072</v>
      </c>
      <c r="N66" s="98">
        <v>90.48</v>
      </c>
      <c r="P66" s="98">
        <v>96</v>
      </c>
      <c r="Q66" s="98">
        <v>384</v>
      </c>
      <c r="R66" s="98">
        <v>4096</v>
      </c>
      <c r="S66" s="98">
        <v>179.55</v>
      </c>
      <c r="U66" s="98">
        <v>96</v>
      </c>
      <c r="V66" s="98">
        <v>384</v>
      </c>
      <c r="W66" s="98">
        <v>5120</v>
      </c>
      <c r="X66" s="98">
        <v>174.66</v>
      </c>
    </row>
    <row r="67" spans="1:24" x14ac:dyDescent="0.25">
      <c r="A67" s="98">
        <v>32</v>
      </c>
      <c r="B67" s="98">
        <v>384</v>
      </c>
      <c r="C67" s="98">
        <v>1024</v>
      </c>
      <c r="D67" s="98">
        <v>201.08</v>
      </c>
      <c r="F67" s="98">
        <v>32</v>
      </c>
      <c r="G67" s="98">
        <v>384</v>
      </c>
      <c r="H67" s="98">
        <v>2048</v>
      </c>
      <c r="I67" s="98">
        <v>186.33</v>
      </c>
      <c r="K67" s="98">
        <v>32</v>
      </c>
      <c r="L67" s="98">
        <v>384</v>
      </c>
      <c r="M67" s="98">
        <v>3072</v>
      </c>
      <c r="N67" s="98">
        <v>179.67</v>
      </c>
      <c r="P67" s="98">
        <v>128</v>
      </c>
      <c r="Q67" s="98">
        <v>384</v>
      </c>
      <c r="R67" s="98">
        <v>4096</v>
      </c>
      <c r="S67" s="98">
        <v>179.32</v>
      </c>
      <c r="U67" s="98">
        <v>128</v>
      </c>
      <c r="V67" s="98">
        <v>384</v>
      </c>
      <c r="W67" s="98">
        <v>5120</v>
      </c>
      <c r="X67" s="98">
        <v>174.4</v>
      </c>
    </row>
    <row r="68" spans="1:24" x14ac:dyDescent="0.25">
      <c r="A68" s="98">
        <v>64</v>
      </c>
      <c r="B68" s="98">
        <v>384</v>
      </c>
      <c r="C68" s="98">
        <v>1024</v>
      </c>
      <c r="D68" s="98">
        <v>173.58</v>
      </c>
      <c r="F68" s="98">
        <v>64</v>
      </c>
      <c r="G68" s="98">
        <v>384</v>
      </c>
      <c r="H68" s="98">
        <v>2048</v>
      </c>
      <c r="I68" s="98">
        <v>177.1</v>
      </c>
      <c r="K68" s="98">
        <v>64</v>
      </c>
      <c r="L68" s="98">
        <v>384</v>
      </c>
      <c r="M68" s="98">
        <v>3072</v>
      </c>
      <c r="N68" s="98">
        <v>176.83</v>
      </c>
      <c r="P68" s="98">
        <v>256</v>
      </c>
      <c r="Q68" s="98">
        <v>384</v>
      </c>
      <c r="R68" s="98">
        <v>4096</v>
      </c>
      <c r="S68" s="98">
        <v>170.11</v>
      </c>
      <c r="U68" s="98">
        <v>256</v>
      </c>
      <c r="V68" s="98">
        <v>384</v>
      </c>
      <c r="W68" s="98">
        <v>5120</v>
      </c>
      <c r="X68" s="98">
        <v>165.26</v>
      </c>
    </row>
    <row r="69" spans="1:24" x14ac:dyDescent="0.25">
      <c r="A69" s="98">
        <v>96</v>
      </c>
      <c r="B69" s="98">
        <v>384</v>
      </c>
      <c r="C69" s="98">
        <v>1024</v>
      </c>
      <c r="D69" s="98">
        <v>165.69</v>
      </c>
      <c r="F69" s="98">
        <v>96</v>
      </c>
      <c r="G69" s="98">
        <v>384</v>
      </c>
      <c r="H69" s="98">
        <v>2048</v>
      </c>
      <c r="I69" s="98">
        <v>173.67</v>
      </c>
      <c r="K69" s="98">
        <v>96</v>
      </c>
      <c r="L69" s="98">
        <v>384</v>
      </c>
      <c r="M69" s="98">
        <v>3072</v>
      </c>
      <c r="N69" s="98">
        <v>173.77</v>
      </c>
      <c r="P69" s="98">
        <v>32</v>
      </c>
      <c r="Q69" s="98">
        <v>416</v>
      </c>
      <c r="R69" s="98">
        <v>4096</v>
      </c>
      <c r="S69" s="98">
        <v>131.47</v>
      </c>
      <c r="U69" s="98">
        <v>32</v>
      </c>
      <c r="V69" s="98">
        <v>416</v>
      </c>
      <c r="W69" s="98">
        <v>5120</v>
      </c>
      <c r="X69" s="98">
        <v>131.71</v>
      </c>
    </row>
    <row r="70" spans="1:24" x14ac:dyDescent="0.25">
      <c r="A70" s="98">
        <v>128</v>
      </c>
      <c r="B70" s="98">
        <v>384</v>
      </c>
      <c r="C70" s="98">
        <v>1024</v>
      </c>
      <c r="D70" s="98">
        <v>158.97999999999999</v>
      </c>
      <c r="F70" s="98">
        <v>128</v>
      </c>
      <c r="G70" s="98">
        <v>384</v>
      </c>
      <c r="H70" s="98">
        <v>2048</v>
      </c>
      <c r="I70" s="98">
        <v>166.18</v>
      </c>
      <c r="K70" s="98">
        <v>128</v>
      </c>
      <c r="L70" s="98">
        <v>384</v>
      </c>
      <c r="M70" s="98">
        <v>3072</v>
      </c>
      <c r="N70" s="98">
        <v>173.43</v>
      </c>
      <c r="P70" s="98">
        <v>64</v>
      </c>
      <c r="Q70" s="98">
        <v>416</v>
      </c>
      <c r="R70" s="98">
        <v>4096</v>
      </c>
      <c r="S70" s="98">
        <v>124.33</v>
      </c>
      <c r="U70" s="98">
        <v>64</v>
      </c>
      <c r="V70" s="98">
        <v>416</v>
      </c>
      <c r="W70" s="98">
        <v>5120</v>
      </c>
      <c r="X70" s="98">
        <v>128.94999999999999</v>
      </c>
    </row>
    <row r="71" spans="1:24" x14ac:dyDescent="0.25">
      <c r="A71" s="98">
        <v>256</v>
      </c>
      <c r="B71" s="98">
        <v>384</v>
      </c>
      <c r="C71" s="98">
        <v>1024</v>
      </c>
      <c r="D71" s="98">
        <v>145.57</v>
      </c>
      <c r="F71" s="98">
        <v>256</v>
      </c>
      <c r="G71" s="98">
        <v>384</v>
      </c>
      <c r="H71" s="98">
        <v>2048</v>
      </c>
      <c r="I71" s="98">
        <v>158.88999999999999</v>
      </c>
      <c r="K71" s="98">
        <v>256</v>
      </c>
      <c r="L71" s="98">
        <v>384</v>
      </c>
      <c r="M71" s="98">
        <v>3072</v>
      </c>
      <c r="N71" s="98">
        <v>163.02000000000001</v>
      </c>
      <c r="P71" s="98">
        <v>96</v>
      </c>
      <c r="Q71" s="98">
        <v>416</v>
      </c>
      <c r="R71" s="98">
        <v>4096</v>
      </c>
      <c r="S71" s="98">
        <v>126.57</v>
      </c>
      <c r="U71" s="98">
        <v>96</v>
      </c>
      <c r="V71" s="98">
        <v>416</v>
      </c>
      <c r="W71" s="98">
        <v>5120</v>
      </c>
      <c r="X71" s="98">
        <v>129.83000000000001</v>
      </c>
    </row>
    <row r="72" spans="1:24" x14ac:dyDescent="0.25">
      <c r="A72" s="98">
        <v>32</v>
      </c>
      <c r="B72" s="98">
        <v>416</v>
      </c>
      <c r="C72" s="98">
        <v>1024</v>
      </c>
      <c r="D72" s="98">
        <v>148.83000000000001</v>
      </c>
      <c r="F72" s="98">
        <v>32</v>
      </c>
      <c r="G72" s="98">
        <v>416</v>
      </c>
      <c r="H72" s="98">
        <v>2048</v>
      </c>
      <c r="I72" s="98">
        <v>134.81</v>
      </c>
      <c r="K72" s="98">
        <v>32</v>
      </c>
      <c r="L72" s="98">
        <v>416</v>
      </c>
      <c r="M72" s="98">
        <v>3072</v>
      </c>
      <c r="N72" s="98">
        <v>131.21</v>
      </c>
      <c r="P72" s="98">
        <v>128</v>
      </c>
      <c r="Q72" s="98">
        <v>416</v>
      </c>
      <c r="R72" s="98">
        <v>4096</v>
      </c>
      <c r="S72" s="98">
        <v>116.51</v>
      </c>
      <c r="U72" s="98">
        <v>128</v>
      </c>
      <c r="V72" s="98">
        <v>416</v>
      </c>
      <c r="W72" s="98">
        <v>5120</v>
      </c>
      <c r="X72" s="98">
        <v>129.04</v>
      </c>
    </row>
    <row r="73" spans="1:24" x14ac:dyDescent="0.25">
      <c r="A73" s="98">
        <v>64</v>
      </c>
      <c r="B73" s="98">
        <v>416</v>
      </c>
      <c r="C73" s="98">
        <v>1024</v>
      </c>
      <c r="D73" s="98">
        <v>127.03</v>
      </c>
      <c r="F73" s="98">
        <v>64</v>
      </c>
      <c r="G73" s="98">
        <v>416</v>
      </c>
      <c r="H73" s="98">
        <v>2048</v>
      </c>
      <c r="I73" s="98">
        <v>118.2</v>
      </c>
      <c r="K73" s="98">
        <v>64</v>
      </c>
      <c r="L73" s="98">
        <v>416</v>
      </c>
      <c r="M73" s="98">
        <v>3072</v>
      </c>
      <c r="N73" s="98">
        <v>128.94</v>
      </c>
      <c r="P73" s="98">
        <v>256</v>
      </c>
      <c r="Q73" s="98">
        <v>416</v>
      </c>
      <c r="R73" s="98">
        <v>4096</v>
      </c>
      <c r="S73" s="98">
        <v>119.2</v>
      </c>
      <c r="U73" s="98">
        <v>256</v>
      </c>
      <c r="V73" s="98">
        <v>416</v>
      </c>
      <c r="W73" s="98">
        <v>5120</v>
      </c>
      <c r="X73" s="98">
        <v>127.73</v>
      </c>
    </row>
    <row r="74" spans="1:24" x14ac:dyDescent="0.25">
      <c r="A74" s="98">
        <v>96</v>
      </c>
      <c r="B74" s="98">
        <v>416</v>
      </c>
      <c r="C74" s="98">
        <v>1024</v>
      </c>
      <c r="D74" s="98">
        <v>123.78</v>
      </c>
      <c r="F74" s="98">
        <v>96</v>
      </c>
      <c r="G74" s="98">
        <v>416</v>
      </c>
      <c r="H74" s="98">
        <v>2048</v>
      </c>
      <c r="I74" s="98">
        <v>119.27</v>
      </c>
      <c r="K74" s="98">
        <v>96</v>
      </c>
      <c r="L74" s="98">
        <v>416</v>
      </c>
      <c r="M74" s="98">
        <v>3072</v>
      </c>
      <c r="N74" s="98">
        <v>128.61000000000001</v>
      </c>
    </row>
    <row r="75" spans="1:24" x14ac:dyDescent="0.25">
      <c r="A75" s="98">
        <v>128</v>
      </c>
      <c r="B75" s="98">
        <v>416</v>
      </c>
      <c r="C75" s="98">
        <v>1024</v>
      </c>
      <c r="D75" s="98">
        <v>122.13</v>
      </c>
      <c r="F75" s="98">
        <v>128</v>
      </c>
      <c r="G75" s="98">
        <v>416</v>
      </c>
      <c r="H75" s="98">
        <v>2048</v>
      </c>
      <c r="I75" s="98">
        <v>119.19</v>
      </c>
      <c r="K75" s="98">
        <v>128</v>
      </c>
      <c r="L75" s="98">
        <v>416</v>
      </c>
      <c r="M75" s="98">
        <v>3072</v>
      </c>
      <c r="N75" s="98">
        <v>125.66</v>
      </c>
    </row>
    <row r="76" spans="1:24" x14ac:dyDescent="0.25">
      <c r="A76" s="98">
        <v>256</v>
      </c>
      <c r="B76" s="98">
        <v>416</v>
      </c>
      <c r="C76" s="98">
        <v>1024</v>
      </c>
      <c r="D76" s="98">
        <v>116.23</v>
      </c>
      <c r="F76" s="98">
        <v>256</v>
      </c>
      <c r="G76" s="98">
        <v>416</v>
      </c>
      <c r="H76" s="98">
        <v>2048</v>
      </c>
      <c r="I76" s="98">
        <v>120.37</v>
      </c>
      <c r="K76" s="98">
        <v>256</v>
      </c>
      <c r="L76" s="98">
        <v>416</v>
      </c>
      <c r="M76" s="98">
        <v>3072</v>
      </c>
      <c r="N76" s="98">
        <v>126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2.36Ghz - dma 跨步</vt:lpstr>
      <vt:lpstr>ACE - 测试数据</vt:lpstr>
      <vt:lpstr>2.5Ghz - dma 跨步</vt:lpstr>
      <vt:lpstr>dma 连续</vt:lpstr>
      <vt:lpstr>m8k4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peng gu</cp:lastModifiedBy>
  <dcterms:created xsi:type="dcterms:W3CDTF">2006-09-16T00:00:00Z</dcterms:created>
  <dcterms:modified xsi:type="dcterms:W3CDTF">2024-06-06T06:56:10Z</dcterms:modified>
</cp:coreProperties>
</file>